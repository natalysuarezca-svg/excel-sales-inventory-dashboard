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is\Documents\"/>
    </mc:Choice>
  </mc:AlternateContent>
  <xr:revisionPtr revIDLastSave="0" documentId="13_ncr:1_{AFD2B4AC-1C84-4FA5-AB09-4D559771BD6E}" xr6:coauthVersionLast="47" xr6:coauthVersionMax="47" xr10:uidLastSave="{00000000-0000-0000-0000-000000000000}"/>
  <bookViews>
    <workbookView xWindow="-120" yWindow="-120" windowWidth="29040" windowHeight="15720" activeTab="4" xr2:uid="{5FEBE6E5-CA18-4ADB-9FD3-25894A8FB166}"/>
  </bookViews>
  <sheets>
    <sheet name="Raw_Data" sheetId="1" r:id="rId1"/>
    <sheet name="Data_Cleaning" sheetId="2" r:id="rId2"/>
    <sheet name="Clean_Data" sheetId="7" r:id="rId3"/>
    <sheet name="Pivot_Tables" sheetId="3" r:id="rId4"/>
    <sheet name="Dashboard" sheetId="4" r:id="rId5"/>
    <sheet name="Documentation" sheetId="5" r:id="rId6"/>
  </sheets>
  <definedNames>
    <definedName name="SegmentaciónDeDatos_Category">#N/A</definedName>
    <definedName name="SegmentaciónDeDatos_Region">#N/A</definedName>
    <definedName name="SegmentaciónDeDatos_Sales_Rep">#N/A</definedName>
    <definedName name="SegmentaciónDeDatos_Status">#N/A</definedName>
  </definedNames>
  <calcPr calcId="191029"/>
  <pivotCaches>
    <pivotCache cacheId="4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4" l="1"/>
  <c r="D8" i="4"/>
  <c r="C8" i="4"/>
  <c r="B8" i="4"/>
  <c r="A8" i="4"/>
  <c r="O3" i="7"/>
  <c r="P3" i="7" s="1"/>
  <c r="O4" i="7"/>
  <c r="P4" i="7" s="1"/>
  <c r="O5" i="7"/>
  <c r="P5" i="7" s="1"/>
  <c r="O6" i="7"/>
  <c r="P6" i="7" s="1"/>
  <c r="O7" i="7"/>
  <c r="P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P21" i="7" s="1"/>
  <c r="O22" i="7"/>
  <c r="P22" i="7" s="1"/>
  <c r="O23" i="7"/>
  <c r="P23" i="7" s="1"/>
  <c r="O24" i="7"/>
  <c r="P24" i="7" s="1"/>
  <c r="O25" i="7"/>
  <c r="P25" i="7" s="1"/>
  <c r="O26" i="7"/>
  <c r="P26" i="7" s="1"/>
  <c r="O27" i="7"/>
  <c r="P27" i="7" s="1"/>
  <c r="O28" i="7"/>
  <c r="P28" i="7" s="1"/>
  <c r="O29" i="7"/>
  <c r="P29" i="7" s="1"/>
  <c r="O30" i="7"/>
  <c r="P30" i="7" s="1"/>
  <c r="O31" i="7"/>
  <c r="P31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P38" i="7" s="1"/>
  <c r="O39" i="7"/>
  <c r="P39" i="7" s="1"/>
  <c r="O40" i="7"/>
  <c r="P40" i="7" s="1"/>
  <c r="O41" i="7"/>
  <c r="P41" i="7" s="1"/>
  <c r="O42" i="7"/>
  <c r="P42" i="7" s="1"/>
  <c r="O43" i="7"/>
  <c r="P43" i="7" s="1"/>
  <c r="O44" i="7"/>
  <c r="P44" i="7" s="1"/>
  <c r="O45" i="7"/>
  <c r="P45" i="7" s="1"/>
  <c r="O46" i="7"/>
  <c r="P46" i="7" s="1"/>
  <c r="O47" i="7"/>
  <c r="P47" i="7" s="1"/>
  <c r="O48" i="7"/>
  <c r="P48" i="7" s="1"/>
  <c r="O49" i="7"/>
  <c r="P49" i="7" s="1"/>
  <c r="O50" i="7"/>
  <c r="P50" i="7" s="1"/>
  <c r="O51" i="7"/>
  <c r="P51" i="7" s="1"/>
  <c r="O52" i="7"/>
  <c r="P52" i="7" s="1"/>
  <c r="O53" i="7"/>
  <c r="P53" i="7" s="1"/>
  <c r="O54" i="7"/>
  <c r="P54" i="7" s="1"/>
  <c r="O55" i="7"/>
  <c r="P55" i="7" s="1"/>
  <c r="O56" i="7"/>
  <c r="P56" i="7" s="1"/>
  <c r="O57" i="7"/>
  <c r="P57" i="7" s="1"/>
  <c r="O58" i="7"/>
  <c r="P58" i="7" s="1"/>
  <c r="O59" i="7"/>
  <c r="P59" i="7" s="1"/>
  <c r="O60" i="7"/>
  <c r="P60" i="7" s="1"/>
  <c r="O61" i="7"/>
  <c r="P61" i="7" s="1"/>
  <c r="O62" i="7"/>
  <c r="P62" i="7" s="1"/>
  <c r="O63" i="7"/>
  <c r="P63" i="7" s="1"/>
  <c r="O64" i="7"/>
  <c r="P64" i="7" s="1"/>
  <c r="O65" i="7"/>
  <c r="P65" i="7" s="1"/>
  <c r="O66" i="7"/>
  <c r="P66" i="7" s="1"/>
  <c r="O67" i="7"/>
  <c r="P67" i="7" s="1"/>
  <c r="O68" i="7"/>
  <c r="P68" i="7" s="1"/>
  <c r="O69" i="7"/>
  <c r="P69" i="7" s="1"/>
  <c r="O70" i="7"/>
  <c r="P70" i="7" s="1"/>
  <c r="O71" i="7"/>
  <c r="P71" i="7" s="1"/>
  <c r="O72" i="7"/>
  <c r="P72" i="7" s="1"/>
  <c r="O73" i="7"/>
  <c r="P73" i="7" s="1"/>
  <c r="O74" i="7"/>
  <c r="P74" i="7" s="1"/>
  <c r="O75" i="7"/>
  <c r="P75" i="7" s="1"/>
  <c r="O76" i="7"/>
  <c r="P76" i="7" s="1"/>
  <c r="O77" i="7"/>
  <c r="P77" i="7" s="1"/>
  <c r="O78" i="7"/>
  <c r="P78" i="7" s="1"/>
  <c r="O79" i="7"/>
  <c r="P79" i="7" s="1"/>
  <c r="O80" i="7"/>
  <c r="P80" i="7" s="1"/>
  <c r="O81" i="7"/>
  <c r="P81" i="7" s="1"/>
  <c r="O82" i="7"/>
  <c r="P82" i="7" s="1"/>
  <c r="O83" i="7"/>
  <c r="P83" i="7" s="1"/>
  <c r="O84" i="7"/>
  <c r="P84" i="7" s="1"/>
  <c r="O85" i="7"/>
  <c r="P85" i="7" s="1"/>
  <c r="O86" i="7"/>
  <c r="P86" i="7" s="1"/>
  <c r="O87" i="7"/>
  <c r="P87" i="7" s="1"/>
  <c r="O88" i="7"/>
  <c r="P88" i="7" s="1"/>
  <c r="O89" i="7"/>
  <c r="P89" i="7" s="1"/>
  <c r="O90" i="7"/>
  <c r="P90" i="7" s="1"/>
  <c r="O91" i="7"/>
  <c r="P91" i="7" s="1"/>
  <c r="O92" i="7"/>
  <c r="P92" i="7" s="1"/>
  <c r="O93" i="7"/>
  <c r="P93" i="7" s="1"/>
  <c r="O94" i="7"/>
  <c r="P94" i="7" s="1"/>
  <c r="O95" i="7"/>
  <c r="P95" i="7" s="1"/>
  <c r="O96" i="7"/>
  <c r="P96" i="7" s="1"/>
  <c r="O97" i="7"/>
  <c r="P97" i="7" s="1"/>
  <c r="O98" i="7"/>
  <c r="P98" i="7" s="1"/>
  <c r="O99" i="7"/>
  <c r="P99" i="7" s="1"/>
  <c r="O100" i="7"/>
  <c r="P100" i="7" s="1"/>
  <c r="O101" i="7"/>
  <c r="P101" i="7" s="1"/>
  <c r="O102" i="7"/>
  <c r="P102" i="7" s="1"/>
  <c r="O103" i="7"/>
  <c r="P103" i="7" s="1"/>
  <c r="O104" i="7"/>
  <c r="P104" i="7" s="1"/>
  <c r="O105" i="7"/>
  <c r="P105" i="7" s="1"/>
  <c r="O106" i="7"/>
  <c r="P106" i="7" s="1"/>
  <c r="O107" i="7"/>
  <c r="P107" i="7" s="1"/>
  <c r="O108" i="7"/>
  <c r="P108" i="7" s="1"/>
  <c r="O109" i="7"/>
  <c r="P109" i="7" s="1"/>
  <c r="O110" i="7"/>
  <c r="P110" i="7" s="1"/>
  <c r="O111" i="7"/>
  <c r="P111" i="7" s="1"/>
  <c r="O112" i="7"/>
  <c r="P112" i="7" s="1"/>
  <c r="O113" i="7"/>
  <c r="P113" i="7" s="1"/>
  <c r="O114" i="7"/>
  <c r="P114" i="7" s="1"/>
  <c r="O115" i="7"/>
  <c r="P115" i="7" s="1"/>
  <c r="O116" i="7"/>
  <c r="P116" i="7" s="1"/>
  <c r="O2" i="7"/>
  <c r="P2" i="7" s="1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J16" i="7"/>
  <c r="L16" i="7" s="1"/>
  <c r="Q16" i="7" s="1"/>
  <c r="J15" i="7"/>
  <c r="L15" i="7" s="1"/>
  <c r="Q15" i="7" s="1"/>
  <c r="J14" i="7"/>
  <c r="L14" i="7" s="1"/>
  <c r="Q14" i="7" s="1"/>
  <c r="J13" i="7"/>
  <c r="L13" i="7" s="1"/>
  <c r="Q13" i="7" s="1"/>
  <c r="J12" i="7"/>
  <c r="L12" i="7" s="1"/>
  <c r="Q12" i="7" s="1"/>
  <c r="J11" i="7"/>
  <c r="L11" i="7" s="1"/>
  <c r="Q11" i="7" s="1"/>
  <c r="J10" i="7"/>
  <c r="L10" i="7" s="1"/>
  <c r="Q10" i="7" s="1"/>
  <c r="J9" i="7"/>
  <c r="L9" i="7" s="1"/>
  <c r="Q9" i="7" s="1"/>
  <c r="J8" i="7"/>
  <c r="L8" i="7" s="1"/>
  <c r="Q8" i="7" s="1"/>
  <c r="J7" i="7"/>
  <c r="L7" i="7" s="1"/>
  <c r="Q7" i="7" s="1"/>
  <c r="J6" i="7"/>
  <c r="L6" i="7" s="1"/>
  <c r="Q6" i="7" s="1"/>
  <c r="J5" i="7"/>
  <c r="L5" i="7" s="1"/>
  <c r="Q5" i="7" s="1"/>
  <c r="J4" i="7"/>
  <c r="L4" i="7" s="1"/>
  <c r="Q4" i="7" s="1"/>
  <c r="J3" i="7"/>
  <c r="L3" i="7" s="1"/>
  <c r="Q3" i="7" s="1"/>
  <c r="J2" i="7"/>
  <c r="L2" i="7" s="1"/>
  <c r="Q2" i="7" s="1"/>
  <c r="G27" i="2"/>
  <c r="G28" i="2"/>
  <c r="G29" i="2"/>
  <c r="G30" i="2"/>
  <c r="G26" i="2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L16" i="1"/>
  <c r="J16" i="1"/>
  <c r="P15" i="1"/>
  <c r="L15" i="1"/>
  <c r="J15" i="1"/>
  <c r="P14" i="1"/>
  <c r="L14" i="1"/>
  <c r="J14" i="1"/>
  <c r="P13" i="1"/>
  <c r="L13" i="1"/>
  <c r="J13" i="1"/>
  <c r="P12" i="1"/>
  <c r="L12" i="1"/>
  <c r="J12" i="1"/>
  <c r="P11" i="1"/>
  <c r="L11" i="1"/>
  <c r="J11" i="1"/>
  <c r="P10" i="1"/>
  <c r="L10" i="1"/>
  <c r="J10" i="1"/>
  <c r="P9" i="1"/>
  <c r="L9" i="1"/>
  <c r="J9" i="1"/>
  <c r="P8" i="1"/>
  <c r="L8" i="1"/>
  <c r="J8" i="1"/>
  <c r="P7" i="1"/>
  <c r="L7" i="1"/>
  <c r="J7" i="1"/>
  <c r="P6" i="1"/>
  <c r="L6" i="1"/>
  <c r="J6" i="1"/>
  <c r="P5" i="1"/>
  <c r="L5" i="1"/>
  <c r="J5" i="1"/>
  <c r="P4" i="1"/>
  <c r="L4" i="1"/>
  <c r="J4" i="1"/>
  <c r="P3" i="1"/>
  <c r="L3" i="1"/>
  <c r="J3" i="1"/>
  <c r="P2" i="1"/>
  <c r="L2" i="1"/>
  <c r="J2" i="1"/>
</calcChain>
</file>

<file path=xl/sharedStrings.xml><?xml version="1.0" encoding="utf-8"?>
<sst xmlns="http://schemas.openxmlformats.org/spreadsheetml/2006/main" count="1653" uniqueCount="255">
  <si>
    <t>Date</t>
  </si>
  <si>
    <t>Order_ID</t>
  </si>
  <si>
    <t>Customer</t>
  </si>
  <si>
    <t>Product</t>
  </si>
  <si>
    <t>Category</t>
  </si>
  <si>
    <t>Region</t>
  </si>
  <si>
    <t>Sales_Rep</t>
  </si>
  <si>
    <t>Quantity_Sold</t>
  </si>
  <si>
    <t>Unit_Price</t>
  </si>
  <si>
    <t>Total_Sales</t>
  </si>
  <si>
    <t>Production_Cost</t>
  </si>
  <si>
    <t>Profit</t>
  </si>
  <si>
    <t>Inventory_Stock</t>
  </si>
  <si>
    <t>Reorder_Level</t>
  </si>
  <si>
    <t>Status</t>
  </si>
  <si>
    <t>Toronto</t>
  </si>
  <si>
    <t>Mississauga</t>
  </si>
  <si>
    <t>Low Stock</t>
  </si>
  <si>
    <t>Brampton</t>
  </si>
  <si>
    <t>Ottawa</t>
  </si>
  <si>
    <t>Total Sales</t>
  </si>
  <si>
    <t>Total Profit</t>
  </si>
  <si>
    <t>Total Orders</t>
  </si>
  <si>
    <t>Low Stock Items</t>
  </si>
  <si>
    <t>Average Profit Margin</t>
  </si>
  <si>
    <t>Profit_Margin</t>
  </si>
  <si>
    <t>Total general</t>
  </si>
  <si>
    <t>ene</t>
  </si>
  <si>
    <t>feb</t>
  </si>
  <si>
    <t>mar</t>
  </si>
  <si>
    <t>Suma de Total_Sales</t>
  </si>
  <si>
    <t>Cuenta de Order_ID</t>
  </si>
  <si>
    <t>Suma de Profit</t>
  </si>
  <si>
    <t>Months</t>
  </si>
  <si>
    <t>Sales Rep</t>
  </si>
  <si>
    <t>ORD-101</t>
  </si>
  <si>
    <t>Ontario</t>
  </si>
  <si>
    <t>Electronics</t>
  </si>
  <si>
    <t>Laptop</t>
  </si>
  <si>
    <t>In Stock</t>
  </si>
  <si>
    <t>Ana Lopez</t>
  </si>
  <si>
    <t>ORD-102</t>
  </si>
  <si>
    <t>Quebec</t>
  </si>
  <si>
    <t>Office Supplies</t>
  </si>
  <si>
    <t>Printer Paper</t>
  </si>
  <si>
    <t>Carlos Perez</t>
  </si>
  <si>
    <t>ORD-103</t>
  </si>
  <si>
    <t>Alberta</t>
  </si>
  <si>
    <t>Furniture</t>
  </si>
  <si>
    <t>Desk Chair</t>
  </si>
  <si>
    <t>Maria Gomez</t>
  </si>
  <si>
    <t>ORD-104</t>
  </si>
  <si>
    <t>British Columbia</t>
  </si>
  <si>
    <t>Technology</t>
  </si>
  <si>
    <t>Monitor</t>
  </si>
  <si>
    <t>John Smith</t>
  </si>
  <si>
    <t>ORD-105</t>
  </si>
  <si>
    <t>Manitoba</t>
  </si>
  <si>
    <t>Production Supplies</t>
  </si>
  <si>
    <t>Safety Gloves</t>
  </si>
  <si>
    <t>ORD-106</t>
  </si>
  <si>
    <t>Tablet</t>
  </si>
  <si>
    <t>ORD-107</t>
  </si>
  <si>
    <t>Standing Desk</t>
  </si>
  <si>
    <t>ORD-108</t>
  </si>
  <si>
    <t>Ink Cartridge</t>
  </si>
  <si>
    <t>ORD-109</t>
  </si>
  <si>
    <t>Keyboard</t>
  </si>
  <si>
    <t>ORD-110</t>
  </si>
  <si>
    <t>Packaging Boxes</t>
  </si>
  <si>
    <t>ORD-111</t>
  </si>
  <si>
    <t>Smartphone</t>
  </si>
  <si>
    <t>ORD-112</t>
  </si>
  <si>
    <t>Notebook</t>
  </si>
  <si>
    <t>ORD-113</t>
  </si>
  <si>
    <t>Office Desk</t>
  </si>
  <si>
    <t>ORD-114</t>
  </si>
  <si>
    <t>Mouse</t>
  </si>
  <si>
    <t>ORD-115</t>
  </si>
  <si>
    <t>Labels</t>
  </si>
  <si>
    <t>ORD-116</t>
  </si>
  <si>
    <t>Headphones</t>
  </si>
  <si>
    <t>ORD-117</t>
  </si>
  <si>
    <t>Bookshelf</t>
  </si>
  <si>
    <t>ORD-118</t>
  </si>
  <si>
    <t>Stapler</t>
  </si>
  <si>
    <t>ORD-119</t>
  </si>
  <si>
    <t>Webcam</t>
  </si>
  <si>
    <t>ORD-120</t>
  </si>
  <si>
    <t>Tape Rolls</t>
  </si>
  <si>
    <t>ORD-121</t>
  </si>
  <si>
    <t>ORD-122</t>
  </si>
  <si>
    <t>ORD-123</t>
  </si>
  <si>
    <t>ORD-124</t>
  </si>
  <si>
    <t>ORD-125</t>
  </si>
  <si>
    <t>Safety Glasses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</si>
  <si>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</si>
  <si>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</si>
  <si>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</si>
  <si>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</si>
  <si>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</si>
  <si>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</si>
  <si>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</si>
  <si>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</si>
  <si>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</si>
  <si>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</si>
  <si>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</si>
  <si>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</si>
  <si>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</si>
  <si>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</si>
  <si>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</si>
  <si>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</si>
  <si>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</si>
  <si>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</si>
  <si>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</si>
  <si>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</si>
  <si>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</si>
  <si>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</si>
  <si>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</si>
  <si>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</si>
  <si>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</si>
  <si>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</si>
  <si>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</si>
  <si>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</si>
  <si>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</si>
  <si>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</si>
  <si>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</si>
  <si>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</si>
  <si>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</si>
  <si>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</si>
  <si>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</si>
  <si>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</si>
  <si>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</si>
  <si>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</si>
  <si>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</si>
  <si>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</si>
  <si>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</si>
  <si>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</si>
  <si>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</si>
  <si>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</si>
  <si>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</si>
  <si>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</si>
  <si>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</si>
  <si>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</si>
  <si>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</si>
  <si>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</si>
  <si>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</si>
  <si>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</si>
  <si>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</si>
  <si>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</si>
  <si>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</si>
  <si>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</si>
  <si>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</si>
  <si>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</si>
  <si>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</si>
  <si>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</si>
  <si>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</si>
  <si>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</si>
  <si>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</si>
  <si>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</si>
  <si>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</si>
  <si>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</si>
  <si>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</si>
  <si>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</si>
  <si>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</si>
  <si>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</si>
  <si>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</si>
  <si>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</si>
  <si>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</si>
  <si>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</si>
  <si>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</si>
  <si>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Maple Retail Co</t>
  </si>
  <si>
    <t>North Star Supplies</t>
  </si>
  <si>
    <t>BluePeak Manufacturing</t>
  </si>
  <si>
    <t>WestBridge Services</t>
  </si>
  <si>
    <t>Prairie Foods</t>
  </si>
  <si>
    <t>Oak Valley Group</t>
  </si>
  <si>
    <t>RiverStone Logistics</t>
  </si>
  <si>
    <t>Summit Office Inc</t>
  </si>
  <si>
    <t>Cedar Tech Solutions</t>
  </si>
  <si>
    <t>Lakeview Distribution</t>
  </si>
  <si>
    <t>ORD-86</t>
  </si>
  <si>
    <t>ORD-87</t>
  </si>
  <si>
    <t>ORD-88</t>
  </si>
  <si>
    <t>ORD-89</t>
  </si>
  <si>
    <t>ORD-90</t>
  </si>
  <si>
    <t>ORD-91</t>
  </si>
  <si>
    <t>ORD-92</t>
  </si>
  <si>
    <t>ORD-93</t>
  </si>
  <si>
    <t>ORD-94</t>
  </si>
  <si>
    <t>ORD-95</t>
  </si>
  <si>
    <t>ORD-96</t>
  </si>
  <si>
    <t>ORD-97</t>
  </si>
  <si>
    <t>ORD-98</t>
  </si>
  <si>
    <t>ORD-99</t>
  </si>
  <si>
    <t>ORD-100</t>
  </si>
  <si>
    <t>abr</t>
  </si>
  <si>
    <t>may</t>
  </si>
  <si>
    <t>jun</t>
  </si>
  <si>
    <t>jul</t>
  </si>
  <si>
    <t>ago</t>
  </si>
  <si>
    <t>sept</t>
  </si>
  <si>
    <t>oct</t>
  </si>
  <si>
    <t>Prepare and validate sales, inventory, and profitability data for accurate analysis and reporting.</t>
  </si>
  <si>
    <t xml:space="preserve">OBJECTIVE: </t>
  </si>
  <si>
    <t>Data Quality Check</t>
  </si>
  <si>
    <t>Method</t>
  </si>
  <si>
    <t>Result</t>
  </si>
  <si>
    <t>Missing Values</t>
  </si>
  <si>
    <t>Checked all required fields</t>
  </si>
  <si>
    <t>0 missing values</t>
  </si>
  <si>
    <t>PASS</t>
  </si>
  <si>
    <t>Duplicate Order Ids</t>
  </si>
  <si>
    <t>Checked Order_ID uniqueness</t>
  </si>
  <si>
    <t>0 duplicates</t>
  </si>
  <si>
    <t>Date Validation</t>
  </si>
  <si>
    <t>Reviewed date format and validity</t>
  </si>
  <si>
    <t>Valid dates</t>
  </si>
  <si>
    <t>Numeric Fields</t>
  </si>
  <si>
    <t>Checked quantities, prices and costs</t>
  </si>
  <si>
    <t>Valid numeric values</t>
  </si>
  <si>
    <t>Total Sales Validation</t>
  </si>
  <si>
    <t>Quantity Sold × Unit Price</t>
  </si>
  <si>
    <t>Calculation validated</t>
  </si>
  <si>
    <t>Profit Validation</t>
  </si>
  <si>
    <t>Total Sales − Production Cost</t>
  </si>
  <si>
    <t>Profit Margin Validation</t>
  </si>
  <si>
    <t>Profit ÷ Total Sales</t>
  </si>
  <si>
    <t>Inventory Status Validation</t>
  </si>
  <si>
    <t>Compared Inventory Stock vs. Reorder Level</t>
  </si>
  <si>
    <t>5 inconsistencies identified</t>
  </si>
  <si>
    <t>REVIEW</t>
  </si>
  <si>
    <t>INVENTORY STATUS VALIDATION</t>
  </si>
  <si>
    <t>Order ID</t>
  </si>
  <si>
    <t>Inventory Stock</t>
  </si>
  <si>
    <t>Reorder Level</t>
  </si>
  <si>
    <t>Current Status</t>
  </si>
  <si>
    <t>Expected Status</t>
  </si>
  <si>
    <t>Validation</t>
  </si>
  <si>
    <t>Status Validation</t>
  </si>
  <si>
    <t>CLEANING SUMMARY</t>
  </si>
  <si>
    <t>Metric</t>
  </si>
  <si>
    <t>Total Records</t>
  </si>
  <si>
    <t>Duplicate Order IDs</t>
  </si>
  <si>
    <t>Inventory Status Inconsistencies</t>
  </si>
  <si>
    <t>Validated Records</t>
  </si>
  <si>
    <t>CLEANING RULES</t>
  </si>
  <si>
    <t>Rule</t>
  </si>
  <si>
    <t>Description</t>
  </si>
  <si>
    <t>Inventory Status</t>
  </si>
  <si>
    <t>If Inventory Stock &lt; Reorder Level → Low Stock</t>
  </si>
  <si>
    <t>If Inventory Stock &gt;= Reorder Level → In Stock</t>
  </si>
  <si>
    <t>Profit Margin</t>
  </si>
  <si>
    <t>(Todas)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</si>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</sst>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1009]#,##0.00"/>
    <numFmt numFmtId="171" formatCode="[$CAD]\ #,##0.00"/>
  </numFmts>
  <fonts count="6">
    <font>
      <sz val="11"/>
      <color theme="1"/>
      <name val="Aptos Narrow"/>
      <family val="2"/>
      <scheme val="minor"/>
    </font>
    <font>
      <sz val="11"/>
      <color theme="1"/>
      <name val="Geist Mono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NumberFormat="1"/>
    <xf numFmtId="17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14">
    <dxf>
      <numFmt numFmtId="14" formatCode="0.00%"/>
      <alignment horizontal="center" vertical="bottom" textRotation="0" wrapText="0" indent="0" justifyLastLine="0" shrinkToFit="0" readingOrder="0"/>
    </dxf>
    <dxf>
      <numFmt numFmtId="171" formatCode="[$CAD]\ #,##0.00"/>
      <alignment horizontal="center" vertical="bottom" textRotation="0" wrapText="0" indent="0" justifyLastLine="0" shrinkToFit="0" readingOrder="0"/>
    </dxf>
    <dxf>
      <numFmt numFmtId="171" formatCode="[$CA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19" formatCode="d/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[Sales_Inventory_Production_Dashboard_2.xlsx]Pivot_Tables!Sales by Category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[$CAD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>
              <a:shade val="76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>
              <a:tint val="77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>
              <a:tint val="54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Pivot_Tables!$G$3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E4D-41C5-85FF-3FFA462EC298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4D-41C5-85FF-3FFA462EC29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E4D-41C5-85FF-3FFA462EC298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311-4847-9709-B5EA6BF11299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311-4847-9709-B5EA6BF11299}"/>
              </c:ext>
            </c:extLst>
          </c:dPt>
          <c:dLbls>
            <c:numFmt formatCode="[$CAD]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Pivot_Tables!$F$4:$F$9</c:f>
              <c:strCache>
                <c:ptCount val="5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  <c:pt idx="3">
                  <c:v>Technology</c:v>
                </c:pt>
                <c:pt idx="4">
                  <c:v>Production Supplies</c:v>
                </c:pt>
              </c:strCache>
            </c:strRef>
          </c:cat>
          <c:val>
            <c:numRef>
              <c:f>Pivot_Tables!$G$4:$G$9</c:f>
              <c:numCache>
                <c:formatCode>General</c:formatCode>
                <c:ptCount val="5"/>
                <c:pt idx="0">
                  <c:v>71291.7</c:v>
                </c:pt>
                <c:pt idx="1">
                  <c:v>14019</c:v>
                </c:pt>
                <c:pt idx="2">
                  <c:v>33251.75</c:v>
                </c:pt>
                <c:pt idx="3">
                  <c:v>25632.5</c:v>
                </c:pt>
                <c:pt idx="4">
                  <c:v>8620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D-41C5-85FF-3FFA462EC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[Sales_Inventory_Production_Dashboard_2.xlsx]Pivot_Tables!TablaDinámica3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Orders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Pivot_Tables!$K$6:$K$11</c:f>
              <c:strCache>
                <c:ptCount val="5"/>
                <c:pt idx="0">
                  <c:v>Safety Gloves</c:v>
                </c:pt>
                <c:pt idx="1">
                  <c:v>Desk Chair</c:v>
                </c:pt>
                <c:pt idx="2">
                  <c:v>Laptop</c:v>
                </c:pt>
                <c:pt idx="3">
                  <c:v>Printer Paper</c:v>
                </c:pt>
                <c:pt idx="4">
                  <c:v>Safety Glasses</c:v>
                </c:pt>
              </c:strCache>
            </c:strRef>
          </c:cat>
          <c:val>
            <c:numRef>
              <c:f>Pivot_Tables!$L$6:$L$11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2-42A2-97C1-8AAEE8AA8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886656"/>
        <c:axId val="1635998928"/>
      </c:barChart>
      <c:catAx>
        <c:axId val="178988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998928"/>
        <c:crosses val="autoZero"/>
        <c:auto val="1"/>
        <c:lblAlgn val="ctr"/>
        <c:lblOffset val="100"/>
        <c:noMultiLvlLbl val="0"/>
      </c:catAx>
      <c:valAx>
        <c:axId val="163599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98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[Sales_Inventory_Production_Dashboard_2.xlsx]Pivot_Tables!Sum of Profit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Profit by Sales Representative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4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F-4B45-BC1E-0B495CDBC963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F-4B45-BC1E-0B495CDBC963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F-4B45-BC1E-0B495CDBC963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FF-4A28-8028-FD0C27521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Pivot_Tables!$P$4:$P$8</c:f>
              <c:strCache>
                <c:ptCount val="4"/>
                <c:pt idx="0">
                  <c:v>Ana Lopez</c:v>
                </c:pt>
                <c:pt idx="1">
                  <c:v>Carlos Perez</c:v>
                </c:pt>
                <c:pt idx="2">
                  <c:v>Maria Gomez</c:v>
                </c:pt>
                <c:pt idx="3">
                  <c:v>John Smith</c:v>
                </c:pt>
              </c:strCache>
            </c:strRef>
          </c:cat>
          <c:val>
            <c:numRef>
              <c:f>Pivot_Tables!$Q$4:$Q$8</c:f>
              <c:numCache>
                <c:formatCode>General</c:formatCode>
                <c:ptCount val="4"/>
                <c:pt idx="0">
                  <c:v>14401.25</c:v>
                </c:pt>
                <c:pt idx="1">
                  <c:v>10314.5</c:v>
                </c:pt>
                <c:pt idx="2">
                  <c:v>18617.7</c:v>
                </c:pt>
                <c:pt idx="3">
                  <c:v>9532.1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1F-4B45-BC1E-0B495CDBC96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[Sales_Inventory_Production_Dashboard_2.xlsx]Pivot_Tables!Sales by Month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ES" sz="1600" b="0" i="0" u="none" strike="noStrike" cap="none" normalizeH="0" baseline="0"/>
              <a:t>Sales by Date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Pivot_Tables!$B$4:$B$14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Pivot_Tables!$C$4:$C$14</c:f>
              <c:numCache>
                <c:formatCode>[$$-1009]#,##0.00</c:formatCode>
                <c:ptCount val="10"/>
                <c:pt idx="0">
                  <c:v>13006.95</c:v>
                </c:pt>
                <c:pt idx="1">
                  <c:v>10487</c:v>
                </c:pt>
                <c:pt idx="2">
                  <c:v>10046</c:v>
                </c:pt>
                <c:pt idx="3">
                  <c:v>10796</c:v>
                </c:pt>
                <c:pt idx="4">
                  <c:v>15572.5</c:v>
                </c:pt>
                <c:pt idx="5">
                  <c:v>14807</c:v>
                </c:pt>
                <c:pt idx="6">
                  <c:v>18548.5</c:v>
                </c:pt>
                <c:pt idx="7">
                  <c:v>17300</c:v>
                </c:pt>
                <c:pt idx="8">
                  <c:v>22244</c:v>
                </c:pt>
                <c:pt idx="9">
                  <c:v>20007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A-4516-A272-C57DFAE36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55034736"/>
        <c:axId val="1636025808"/>
      </c:barChart>
      <c:catAx>
        <c:axId val="155503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025808"/>
        <c:crosses val="autoZero"/>
        <c:auto val="1"/>
        <c:lblAlgn val="ctr"/>
        <c:lblOffset val="100"/>
        <c:noMultiLvlLbl val="0"/>
      </c:catAx>
      <c:valAx>
        <c:axId val="16360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[$$-10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503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672580</xdr:colOff>
      <xdr:row>0</xdr:row>
      <xdr:rowOff>155041</xdr:rowOff>
    </xdr:from>
    <xdr:ext cx="9547745" cy="93769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42DDE41-579C-320F-A2BC-900515CC713F}"/>
            </a:ext>
          </a:extLst>
        </xdr:cNvPr>
        <xdr:cNvSpPr/>
      </xdr:nvSpPr>
      <xdr:spPr>
        <a:xfrm>
          <a:off x="672580" y="155041"/>
          <a:ext cx="9547745" cy="93769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5400"/>
            <a:t>DATA CLEANING &amp; VALIDATION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161923</xdr:colOff>
      <xdr:row>9</xdr:row>
      <xdr:rowOff>66675</xdr:rowOff>
    </xdr:from>
    <xdr:to>
      <xdr:col>6</xdr:col>
      <xdr:colOff>9525</xdr:colOff>
      <xdr:row>23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AC06E9-82F0-48D4-B3D0-9FDAE3C65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114299</xdr:rowOff>
    </xdr:from>
    <xdr:to>
      <xdr:col>13</xdr:col>
      <xdr:colOff>704849</xdr:colOff>
      <xdr:row>38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D185C1-B3EC-49E0-B632-CF32B3E7F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9</xdr:row>
      <xdr:rowOff>57149</xdr:rowOff>
    </xdr:from>
    <xdr:to>
      <xdr:col>13</xdr:col>
      <xdr:colOff>704850</xdr:colOff>
      <xdr:row>23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9E317A-D52C-4A2D-AB87-E20B3701E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3123</xdr:colOff>
      <xdr:row>0</xdr:row>
      <xdr:rowOff>12166</xdr:rowOff>
    </xdr:from>
    <xdr:ext cx="17151401" cy="949859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B5723762-117C-0FBE-8907-861D55A7B792}"/>
            </a:ext>
          </a:extLst>
        </xdr:cNvPr>
        <xdr:cNvSpPr/>
      </xdr:nvSpPr>
      <xdr:spPr>
        <a:xfrm>
          <a:off x="3123" y="12166"/>
          <a:ext cx="17151401" cy="949859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lIns="91440" tIns="45720" rIns="91440" bIns="45720">
          <a:noAutofit/>
        </a:bodyPr>
        <a:lstStyle/>
        <a:p>
          <a:pPr algn="ctr"/>
          <a:r>
            <a:rPr lang="es-ES" sz="6000" b="1" i="0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rPr>
            <a:t>Sales, Inventory and Production Dashboard</a:t>
          </a:r>
          <a:endParaRPr lang="es-ES" sz="413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twoCellAnchor editAs="oneCell">
    <xdr:from>
      <xdr:col>14</xdr:col>
      <xdr:colOff>390525</xdr:colOff>
      <xdr:row>9</xdr:row>
      <xdr:rowOff>57150</xdr:rowOff>
    </xdr:from>
    <xdr:to>
      <xdr:col>16</xdr:col>
      <xdr:colOff>695325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BCFD5E29-97CA-2136-DE07-B4EA667B33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6925" y="17716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390525</xdr:colOff>
      <xdr:row>23</xdr:row>
      <xdr:rowOff>47625</xdr:rowOff>
    </xdr:from>
    <xdr:to>
      <xdr:col>16</xdr:col>
      <xdr:colOff>695325</xdr:colOff>
      <xdr:row>37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E8F8C7B4-E3B8-FF1A-B26F-9E3D0F55CE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6925" y="44291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685800</xdr:colOff>
      <xdr:row>9</xdr:row>
      <xdr:rowOff>57150</xdr:rowOff>
    </xdr:from>
    <xdr:to>
      <xdr:col>19</xdr:col>
      <xdr:colOff>228600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ales_Rep">
              <a:extLst>
                <a:ext uri="{FF2B5EF4-FFF2-40B4-BE49-F238E27FC236}">
                  <a16:creationId xmlns:a16="http://schemas.microsoft.com/office/drawing/2014/main" id="{16B781E9-7E37-6DB8-DC9D-BDF3A17393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Re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0" y="17716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685800</xdr:colOff>
      <xdr:row>23</xdr:row>
      <xdr:rowOff>47625</xdr:rowOff>
    </xdr:from>
    <xdr:to>
      <xdr:col>19</xdr:col>
      <xdr:colOff>228600</xdr:colOff>
      <xdr:row>37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tatus">
              <a:extLst>
                <a:ext uri="{FF2B5EF4-FFF2-40B4-BE49-F238E27FC236}">
                  <a16:creationId xmlns:a16="http://schemas.microsoft.com/office/drawing/2014/main" id="{165841BA-3A8A-5979-F94B-1FE287E41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0" y="44291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152401</xdr:colOff>
      <xdr:row>23</xdr:row>
      <xdr:rowOff>123826</xdr:rowOff>
    </xdr:from>
    <xdr:to>
      <xdr:col>6</xdr:col>
      <xdr:colOff>9526</xdr:colOff>
      <xdr:row>38</xdr:row>
      <xdr:rowOff>57150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F697308-1502-4097-ACCA-3AE5C1360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Y SUAREZ" refreshedDate="46273.551124305559" createdVersion="8" refreshedVersion="8" minRefreshableVersion="3" recordCount="115" xr:uid="{6D2C00D5-13C3-4E15-82BA-6C3BC0E40C03}">
  <cacheSource type="worksheet">
    <worksheetSource name="tbl_sales_clean"/>
  </cacheSource>
  <cacheFields count="19">
    <cacheField name="Date" numFmtId="14">
      <sharedItems containsSemiMixedTypes="0" containsNonDate="0" containsDate="1" containsString="0" minDate="2024-01-05T00:00:00" maxDate="2024-10-31T00:00:00" count="100">
        <d v="2024-01-21T00:00:00"/>
        <d v="2024-01-05T00:00:00"/>
        <d v="2024-01-07T00:00:00"/>
        <d v="2024-01-09T00:00:00"/>
        <d v="2024-01-12T00:00:00"/>
        <d v="2024-01-15T00:00:00"/>
        <d v="2024-01-18T00:00:00"/>
        <d v="2024-01-24T00:00:00"/>
        <d v="2024-01-27T00:00:00"/>
        <d v="2024-01-30T00:00:00"/>
        <d v="2024-02-02T00:00:00"/>
        <d v="2024-02-04T00:00:00"/>
        <d v="2024-02-06T00:00:00"/>
        <d v="2024-02-09T00:00:00"/>
        <d v="2024-02-12T00:00:00"/>
        <d v="2024-02-15T00:00:00"/>
        <d v="2024-02-18T00:00:00"/>
        <d v="2024-02-21T00:00:00"/>
        <d v="2024-02-24T00:00:00"/>
        <d v="2024-02-27T00:00:00"/>
        <d v="2024-03-01T00:00:00"/>
        <d v="2024-03-03T00:00:00"/>
        <d v="2024-03-06T00:00:00"/>
        <d v="2024-03-09T00:00:00"/>
        <d v="2024-03-12T00:00:00"/>
        <d v="2024-03-15T00:00:00"/>
        <d v="2024-03-18T00:00:00"/>
        <d v="2024-03-21T00:00:00"/>
        <d v="2024-03-24T00:00:00"/>
        <d v="2024-03-27T00:00:00"/>
        <d v="2024-04-02T00:00:00"/>
        <d v="2024-04-04T00:00:00"/>
        <d v="2024-04-07T00:00:00"/>
        <d v="2024-04-10T00:00:00"/>
        <d v="2024-04-13T00:00:00"/>
        <d v="2024-04-16T00:00:00"/>
        <d v="2024-04-19T00:00:00"/>
        <d v="2024-04-22T00:00:00"/>
        <d v="2024-04-25T00:00:00"/>
        <d v="2024-04-28T00:00:00"/>
        <d v="2024-05-01T00:00:00"/>
        <d v="2024-05-04T00:00:00"/>
        <d v="2024-05-07T00:00:00"/>
        <d v="2024-05-10T00:00:00"/>
        <d v="2024-05-13T00:00:00"/>
        <d v="2024-05-16T00:00:00"/>
        <d v="2024-05-19T00:00:00"/>
        <d v="2024-05-22T00:00:00"/>
        <d v="2024-05-25T00:00:00"/>
        <d v="2024-05-28T00:00:00"/>
        <d v="2024-06-02T00:00:00"/>
        <d v="2024-06-05T00:00:00"/>
        <d v="2024-06-08T00:00:00"/>
        <d v="2024-06-11T00:00:00"/>
        <d v="2024-06-14T00:00:00"/>
        <d v="2024-06-17T00:00:00"/>
        <d v="2024-06-20T00:00:00"/>
        <d v="2024-06-23T00:00:00"/>
        <d v="2024-06-26T00:00:00"/>
        <d v="2024-06-29T00:00:00"/>
        <d v="2024-07-03T00:00:00"/>
        <d v="2024-07-06T00:00:00"/>
        <d v="2024-07-09T00:00:00"/>
        <d v="2024-07-12T00:00:00"/>
        <d v="2024-07-15T00:00:00"/>
        <d v="2024-07-18T00:00:00"/>
        <d v="2024-07-21T00:00:00"/>
        <d v="2024-07-24T00:00:00"/>
        <d v="2024-07-27T00:00:00"/>
        <d v="2024-07-30T00:00:00"/>
        <d v="2024-08-02T00:00:00"/>
        <d v="2024-08-05T00:00:00"/>
        <d v="2024-08-08T00:00:00"/>
        <d v="2024-08-11T00:00:00"/>
        <d v="2024-08-14T00:00:00"/>
        <d v="2024-08-17T00:00:00"/>
        <d v="2024-08-20T00:00:00"/>
        <d v="2024-08-23T00:00:00"/>
        <d v="2024-08-26T00:00:00"/>
        <d v="2024-08-29T00:00:00"/>
        <d v="2024-09-03T00:00:00"/>
        <d v="2024-09-06T00:00:00"/>
        <d v="2024-09-09T00:00:00"/>
        <d v="2024-09-12T00:00:00"/>
        <d v="2024-09-15T00:00:00"/>
        <d v="2024-09-18T00:00:00"/>
        <d v="2024-09-21T00:00:00"/>
        <d v="2024-09-24T00:00:00"/>
        <d v="2024-09-27T00:00:00"/>
        <d v="2024-09-30T00:00:00"/>
        <d v="2024-10-03T00:00:00"/>
        <d v="2024-10-06T00:00:00"/>
        <d v="2024-10-09T00:00:00"/>
        <d v="2024-10-12T00:00:00"/>
        <d v="2024-10-15T00:00:00"/>
        <d v="2024-10-18T00:00:00"/>
        <d v="2024-10-21T00:00:00"/>
        <d v="2024-10-24T00:00:00"/>
        <d v="2024-10-27T00:00:00"/>
        <d v="2024-10-30T00:00:00"/>
      </sharedItems>
      <fieldGroup par="18"/>
    </cacheField>
    <cacheField name="Order_ID" numFmtId="0">
      <sharedItems/>
    </cacheField>
    <cacheField name="Customer" numFmtId="0">
      <sharedItems/>
    </cacheField>
    <cacheField name="Product" numFmtId="0">
      <sharedItems count="21">
        <s v="Monitor"/>
        <s v="Safety Gloves"/>
        <s v="Tablet"/>
        <s v="Standing Desk"/>
        <s v="Ink Cartridge"/>
        <s v="Keyboard"/>
        <s v="Packaging Boxes"/>
        <s v="Smartphone"/>
        <s v="Notebook"/>
        <s v="Office Desk"/>
        <s v="Mouse"/>
        <s v="Labels"/>
        <s v="Headphones"/>
        <s v="Bookshelf"/>
        <s v="Stapler"/>
        <s v="Webcam"/>
        <s v="Tape Rolls"/>
        <s v="Laptop"/>
        <s v="Printer Paper"/>
        <s v="Desk Chair"/>
        <s v="Safety Glasses"/>
      </sharedItems>
    </cacheField>
    <cacheField name="Category" numFmtId="0">
      <sharedItems count="5">
        <s v="Electronics"/>
        <s v="Office Supplies"/>
        <s v="Furniture"/>
        <s v="Technology"/>
        <s v="Production Supplies"/>
      </sharedItems>
    </cacheField>
    <cacheField name="Region" numFmtId="0">
      <sharedItems count="9">
        <s v="Toronto"/>
        <s v="Mississauga"/>
        <s v="Brampton"/>
        <s v="Ottawa"/>
        <s v="Ontario"/>
        <s v="Quebec"/>
        <s v="Alberta"/>
        <s v="British Columbia"/>
        <s v="Manitoba"/>
      </sharedItems>
    </cacheField>
    <cacheField name="Sales_Rep" numFmtId="0">
      <sharedItems count="4">
        <s v="Ana Lopez"/>
        <s v="Carlos Perez"/>
        <s v="Maria Gomez"/>
        <s v="John Smith"/>
      </sharedItems>
    </cacheField>
    <cacheField name="Quantity_Sold" numFmtId="0">
      <sharedItems containsSemiMixedTypes="0" containsString="0" containsNumber="1" containsInteger="1" minValue="2" maxValue="120"/>
    </cacheField>
    <cacheField name="Unit_Price" numFmtId="0">
      <sharedItems containsSemiMixedTypes="0" containsString="0" containsNumber="1" minValue="2.9" maxValue="990"/>
    </cacheField>
    <cacheField name="Total_Sales" numFmtId="0">
      <sharedItems containsSemiMixedTypes="0" containsString="0" containsNumber="1" minValue="64" maxValue="8100"/>
    </cacheField>
    <cacheField name="Production_Cost" numFmtId="0">
      <sharedItems containsSemiMixedTypes="0" containsString="0" containsNumber="1" minValue="40" maxValue="5900"/>
    </cacheField>
    <cacheField name="Profit" numFmtId="0">
      <sharedItems containsSemiMixedTypes="0" containsString="0" containsNumber="1" minValue="24" maxValue="2200"/>
    </cacheField>
    <cacheField name="Inventory_Stock" numFmtId="0">
      <sharedItems containsSemiMixedTypes="0" containsString="0" containsNumber="1" containsInteger="1" minValue="4" maxValue="230"/>
    </cacheField>
    <cacheField name="Reorder_Level" numFmtId="0">
      <sharedItems containsSemiMixedTypes="0" containsString="0" containsNumber="1" containsInteger="1" minValue="5" maxValue="60"/>
    </cacheField>
    <cacheField name="Status" numFmtId="0">
      <sharedItems count="2">
        <s v="In Stock"/>
        <s v="Low Stock"/>
      </sharedItems>
    </cacheField>
    <cacheField name="Status Validation" numFmtId="0">
      <sharedItems/>
    </cacheField>
    <cacheField name="Profit_Margin" numFmtId="0">
      <sharedItems containsSemiMixedTypes="0" containsString="0" containsNumber="1" minValue="0.26262626262626265" maxValue="0.6"/>
    </cacheField>
    <cacheField name="Días (Date)" numFmtId="0" databaseField="0">
      <fieldGroup base="0">
        <rangePr groupBy="days" startDate="2024-01-05T00:00:00" endDate="2024-10-31T00:00:00"/>
        <groupItems count="368">
          <s v="&lt;5/1/2024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10/2024"/>
        </groupItems>
      </fieldGroup>
    </cacheField>
    <cacheField name="Meses (Date)" numFmtId="0" databaseField="0">
      <fieldGroup base="0">
        <rangePr groupBy="months" startDate="2024-01-05T00:00:00" endDate="2024-10-31T00:00:00"/>
        <groupItems count="14">
          <s v="&lt;5/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/10/2024"/>
        </groupItems>
      </fieldGroup>
    </cacheField>
  </cacheFields>
  <extLst>
    <ext xmlns:x14="http://schemas.microsoft.com/office/spreadsheetml/2009/9/main" uri="{725AE2AE-9491-48be-B2B4-4EB974FC3084}">
      <x14:pivotCacheDefinition pivotCacheId="12317514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s v="ORD-86"/>
    <s v="North Star Supplies"/>
    <x v="0"/>
    <x v="0"/>
    <x v="0"/>
    <x v="0"/>
    <n v="25"/>
    <n v="4.5"/>
    <n v="112.5"/>
    <n v="70"/>
    <n v="42.5"/>
    <n v="120"/>
    <n v="50"/>
    <x v="0"/>
    <s v="PASS"/>
    <n v="0.37777777777777777"/>
  </r>
  <r>
    <x v="1"/>
    <s v="ORD-87"/>
    <s v="BluePeak Manufacturing"/>
    <x v="1"/>
    <x v="1"/>
    <x v="1"/>
    <x v="1"/>
    <n v="40"/>
    <n v="3.2"/>
    <n v="128"/>
    <n v="80"/>
    <n v="48"/>
    <n v="35"/>
    <n v="40"/>
    <x v="1"/>
    <s v="PASS"/>
    <n v="0.375"/>
  </r>
  <r>
    <x v="2"/>
    <s v="ORD-88"/>
    <s v="WestBridge Services"/>
    <x v="2"/>
    <x v="2"/>
    <x v="2"/>
    <x v="2"/>
    <n v="30"/>
    <n v="2.9"/>
    <n v="87"/>
    <n v="55"/>
    <n v="32"/>
    <n v="200"/>
    <n v="60"/>
    <x v="0"/>
    <s v="PASS"/>
    <n v="0.36781609195402298"/>
  </r>
  <r>
    <x v="3"/>
    <s v="ORD-89"/>
    <s v="Prairie Foods"/>
    <x v="3"/>
    <x v="3"/>
    <x v="0"/>
    <x v="3"/>
    <n v="15"/>
    <n v="10.5"/>
    <n v="157.5"/>
    <n v="95"/>
    <n v="62.5"/>
    <n v="45"/>
    <n v="30"/>
    <x v="0"/>
    <s v="PASS"/>
    <n v="0.3968253968253968"/>
  </r>
  <r>
    <x v="4"/>
    <s v="ORD-90"/>
    <s v="Oak Valley Group"/>
    <x v="4"/>
    <x v="4"/>
    <x v="3"/>
    <x v="2"/>
    <n v="50"/>
    <n v="6"/>
    <n v="300"/>
    <n v="180"/>
    <n v="120"/>
    <n v="25"/>
    <n v="35"/>
    <x v="1"/>
    <s v="PASS"/>
    <n v="0.4"/>
  </r>
  <r>
    <x v="5"/>
    <s v="ORD-91"/>
    <s v="RiverStone Logistics"/>
    <x v="5"/>
    <x v="0"/>
    <x v="0"/>
    <x v="3"/>
    <n v="60"/>
    <n v="4.5"/>
    <n v="270"/>
    <n v="160"/>
    <n v="110"/>
    <n v="80"/>
    <n v="50"/>
    <x v="0"/>
    <s v="PASS"/>
    <n v="0.40740740740740738"/>
  </r>
  <r>
    <x v="6"/>
    <s v="ORD-92"/>
    <s v="Summit Office Inc"/>
    <x v="6"/>
    <x v="2"/>
    <x v="1"/>
    <x v="0"/>
    <n v="35"/>
    <n v="5.25"/>
    <n v="183.75"/>
    <n v="110"/>
    <n v="73.75"/>
    <n v="90"/>
    <n v="40"/>
    <x v="0"/>
    <s v="PASS"/>
    <n v="0.40136054421768708"/>
  </r>
  <r>
    <x v="0"/>
    <s v="ORD-93"/>
    <s v="Cedar Tech Solutions"/>
    <x v="7"/>
    <x v="1"/>
    <x v="2"/>
    <x v="1"/>
    <n v="20"/>
    <n v="3.2"/>
    <n v="64"/>
    <n v="40"/>
    <n v="24"/>
    <n v="30"/>
    <n v="40"/>
    <x v="1"/>
    <s v="PASS"/>
    <n v="0.375"/>
  </r>
  <r>
    <x v="1"/>
    <s v="ORD-94"/>
    <s v="Lakeview Distribution"/>
    <x v="8"/>
    <x v="0"/>
    <x v="3"/>
    <x v="1"/>
    <n v="45"/>
    <n v="2.9"/>
    <n v="130.5"/>
    <n v="85"/>
    <n v="45.5"/>
    <n v="170"/>
    <n v="60"/>
    <x v="0"/>
    <s v="PASS"/>
    <n v="0.34865900383141762"/>
  </r>
  <r>
    <x v="2"/>
    <s v="ORD-95"/>
    <s v="Maple Retail Co"/>
    <x v="9"/>
    <x v="1"/>
    <x v="0"/>
    <x v="2"/>
    <n v="55"/>
    <n v="6"/>
    <n v="330"/>
    <n v="195"/>
    <n v="135"/>
    <n v="20"/>
    <n v="35"/>
    <x v="1"/>
    <s v="PASS"/>
    <n v="0.40909090909090912"/>
  </r>
  <r>
    <x v="3"/>
    <s v="ORD-96"/>
    <s v="North Star Supplies"/>
    <x v="0"/>
    <x v="2"/>
    <x v="1"/>
    <x v="3"/>
    <n v="18"/>
    <n v="10.5"/>
    <n v="189"/>
    <n v="112"/>
    <n v="77"/>
    <n v="50"/>
    <n v="30"/>
    <x v="0"/>
    <s v="PASS"/>
    <n v="0.40740740740740738"/>
  </r>
  <r>
    <x v="4"/>
    <s v="ORD-97"/>
    <s v="BluePeak Manufacturing"/>
    <x v="1"/>
    <x v="3"/>
    <x v="2"/>
    <x v="0"/>
    <n v="28"/>
    <n v="5.25"/>
    <n v="147"/>
    <n v="90"/>
    <n v="57"/>
    <n v="75"/>
    <n v="40"/>
    <x v="0"/>
    <s v="PASS"/>
    <n v="0.38775510204081631"/>
  </r>
  <r>
    <x v="5"/>
    <s v="ORD-98"/>
    <s v="WestBridge Services"/>
    <x v="2"/>
    <x v="4"/>
    <x v="3"/>
    <x v="1"/>
    <n v="70"/>
    <n v="4.5"/>
    <n v="315"/>
    <n v="210"/>
    <n v="105"/>
    <n v="65"/>
    <n v="50"/>
    <x v="0"/>
    <s v="PASS"/>
    <n v="0.33333333333333331"/>
  </r>
  <r>
    <x v="6"/>
    <s v="ORD-99"/>
    <s v="Oak Valley Group"/>
    <x v="3"/>
    <x v="0"/>
    <x v="0"/>
    <x v="2"/>
    <n v="33"/>
    <n v="2.9"/>
    <n v="95.7"/>
    <n v="60"/>
    <n v="35.700000000000003"/>
    <n v="150"/>
    <n v="60"/>
    <x v="0"/>
    <s v="PASS"/>
    <n v="0.37304075235109718"/>
  </r>
  <r>
    <x v="0"/>
    <s v="ORD-100"/>
    <s v="RiverStone Logistics"/>
    <x v="4"/>
    <x v="2"/>
    <x v="1"/>
    <x v="3"/>
    <n v="42"/>
    <n v="6"/>
    <n v="252"/>
    <n v="155"/>
    <n v="97"/>
    <n v="28"/>
    <n v="35"/>
    <x v="1"/>
    <s v="PASS"/>
    <n v="0.38492063492063494"/>
  </r>
  <r>
    <x v="1"/>
    <s v="ORD-101"/>
    <s v="Summit Office Inc"/>
    <x v="5"/>
    <x v="1"/>
    <x v="4"/>
    <x v="0"/>
    <n v="3"/>
    <n v="950"/>
    <n v="2850"/>
    <n v="2100"/>
    <n v="750"/>
    <n v="18"/>
    <n v="5"/>
    <x v="0"/>
    <s v="PASS"/>
    <n v="0.26315789473684209"/>
  </r>
  <r>
    <x v="2"/>
    <s v="ORD-102"/>
    <s v="Oak Valley Group"/>
    <x v="6"/>
    <x v="1"/>
    <x v="5"/>
    <x v="1"/>
    <n v="25"/>
    <n v="12"/>
    <n v="300"/>
    <n v="175"/>
    <n v="125"/>
    <n v="120"/>
    <n v="40"/>
    <x v="0"/>
    <s v="PASS"/>
    <n v="0.41666666666666669"/>
  </r>
  <r>
    <x v="3"/>
    <s v="ORD-103"/>
    <s v="RiverStone Logistics"/>
    <x v="7"/>
    <x v="2"/>
    <x v="6"/>
    <x v="2"/>
    <n v="5"/>
    <n v="180"/>
    <n v="900"/>
    <n v="550"/>
    <n v="350"/>
    <n v="8"/>
    <n v="10"/>
    <x v="1"/>
    <s v="PASS"/>
    <n v="0.3888888888888889"/>
  </r>
  <r>
    <x v="4"/>
    <s v="ORD-104"/>
    <s v="Summit Office Inc"/>
    <x v="8"/>
    <x v="3"/>
    <x v="7"/>
    <x v="3"/>
    <n v="4"/>
    <n v="260"/>
    <n v="1040"/>
    <n v="680"/>
    <n v="360"/>
    <n v="22"/>
    <n v="8"/>
    <x v="0"/>
    <s v="PASS"/>
    <n v="0.34615384615384615"/>
  </r>
  <r>
    <x v="5"/>
    <s v="ORD-105"/>
    <s v="Prairie Foods"/>
    <x v="9"/>
    <x v="4"/>
    <x v="8"/>
    <x v="0"/>
    <n v="40"/>
    <n v="8"/>
    <n v="320"/>
    <n v="160"/>
    <n v="160"/>
    <n v="95"/>
    <n v="30"/>
    <x v="0"/>
    <s v="PASS"/>
    <n v="0.5"/>
  </r>
  <r>
    <x v="6"/>
    <s v="ORD-106"/>
    <s v="Oak Valley Group"/>
    <x v="2"/>
    <x v="0"/>
    <x v="4"/>
    <x v="1"/>
    <n v="6"/>
    <n v="420"/>
    <n v="2520"/>
    <n v="1800"/>
    <n v="720"/>
    <n v="16"/>
    <n v="6"/>
    <x v="0"/>
    <s v="PASS"/>
    <n v="0.2857142857142857"/>
  </r>
  <r>
    <x v="0"/>
    <s v="ORD-107"/>
    <s v="RiverStone Logistics"/>
    <x v="3"/>
    <x v="2"/>
    <x v="5"/>
    <x v="2"/>
    <n v="2"/>
    <n v="520"/>
    <n v="1040"/>
    <n v="700"/>
    <n v="340"/>
    <n v="4"/>
    <n v="7"/>
    <x v="1"/>
    <s v="PASS"/>
    <n v="0.32692307692307693"/>
  </r>
  <r>
    <x v="7"/>
    <s v="ORD-108"/>
    <s v="Summit Office Inc"/>
    <x v="4"/>
    <x v="1"/>
    <x v="6"/>
    <x v="3"/>
    <n v="12"/>
    <n v="35"/>
    <n v="420"/>
    <n v="240"/>
    <n v="180"/>
    <n v="55"/>
    <n v="20"/>
    <x v="0"/>
    <s v="PASS"/>
    <n v="0.42857142857142855"/>
  </r>
  <r>
    <x v="8"/>
    <s v="ORD-109"/>
    <s v="Cedar Tech Solutions"/>
    <x v="5"/>
    <x v="3"/>
    <x v="7"/>
    <x v="0"/>
    <n v="15"/>
    <n v="45"/>
    <n v="675"/>
    <n v="375"/>
    <n v="300"/>
    <n v="70"/>
    <n v="25"/>
    <x v="0"/>
    <s v="PASS"/>
    <n v="0.44444444444444442"/>
  </r>
  <r>
    <x v="9"/>
    <s v="ORD-110"/>
    <s v="Lakeview Distribution"/>
    <x v="6"/>
    <x v="4"/>
    <x v="8"/>
    <x v="1"/>
    <n v="60"/>
    <n v="3"/>
    <n v="180"/>
    <n v="90"/>
    <n v="90"/>
    <n v="25"/>
    <n v="35"/>
    <x v="1"/>
    <s v="PASS"/>
    <n v="0.5"/>
  </r>
  <r>
    <x v="10"/>
    <s v="ORD-111"/>
    <s v="Maple Retail Co"/>
    <x v="7"/>
    <x v="0"/>
    <x v="4"/>
    <x v="2"/>
    <n v="7"/>
    <n v="780"/>
    <n v="5460"/>
    <n v="3920"/>
    <n v="1540"/>
    <n v="21"/>
    <n v="7"/>
    <x v="0"/>
    <s v="PASS"/>
    <n v="0.28205128205128205"/>
  </r>
  <r>
    <x v="11"/>
    <s v="ORD-112"/>
    <s v="North Star Supplies"/>
    <x v="8"/>
    <x v="1"/>
    <x v="5"/>
    <x v="3"/>
    <n v="30"/>
    <n v="6"/>
    <n v="180"/>
    <n v="90"/>
    <n v="90"/>
    <n v="140"/>
    <n v="50"/>
    <x v="0"/>
    <s v="PASS"/>
    <n v="0.5"/>
  </r>
  <r>
    <x v="12"/>
    <s v="ORD-113"/>
    <s v="BluePeak Manufacturing"/>
    <x v="9"/>
    <x v="2"/>
    <x v="6"/>
    <x v="0"/>
    <n v="3"/>
    <n v="340"/>
    <n v="1020"/>
    <n v="660"/>
    <n v="360"/>
    <n v="17"/>
    <n v="6"/>
    <x v="0"/>
    <s v="PASS"/>
    <n v="0.35294117647058826"/>
  </r>
  <r>
    <x v="13"/>
    <s v="ORD-114"/>
    <s v="WestBridge Services"/>
    <x v="10"/>
    <x v="3"/>
    <x v="7"/>
    <x v="1"/>
    <n v="20"/>
    <n v="28"/>
    <n v="560"/>
    <n v="280"/>
    <n v="280"/>
    <n v="9"/>
    <n v="15"/>
    <x v="1"/>
    <s v="PASS"/>
    <n v="0.5"/>
  </r>
  <r>
    <x v="14"/>
    <s v="ORD-115"/>
    <s v="Prairie Foods"/>
    <x v="11"/>
    <x v="4"/>
    <x v="8"/>
    <x v="2"/>
    <n v="45"/>
    <n v="5"/>
    <n v="225"/>
    <n v="90"/>
    <n v="135"/>
    <n v="200"/>
    <n v="60"/>
    <x v="0"/>
    <s v="PASS"/>
    <n v="0.6"/>
  </r>
  <r>
    <x v="15"/>
    <s v="ORD-116"/>
    <s v="Oak Valley Group"/>
    <x v="12"/>
    <x v="0"/>
    <x v="4"/>
    <x v="3"/>
    <n v="10"/>
    <n v="85"/>
    <n v="850"/>
    <n v="450"/>
    <n v="400"/>
    <n v="34"/>
    <n v="10"/>
    <x v="0"/>
    <s v="PASS"/>
    <n v="0.47058823529411764"/>
  </r>
  <r>
    <x v="16"/>
    <s v="ORD-117"/>
    <s v="RiverStone Logistics"/>
    <x v="13"/>
    <x v="2"/>
    <x v="5"/>
    <x v="0"/>
    <n v="4"/>
    <n v="210"/>
    <n v="840"/>
    <n v="520"/>
    <n v="320"/>
    <n v="6"/>
    <n v="8"/>
    <x v="1"/>
    <s v="PASS"/>
    <n v="0.38095238095238093"/>
  </r>
  <r>
    <x v="17"/>
    <s v="ORD-118"/>
    <s v="Summit Office Inc"/>
    <x v="14"/>
    <x v="1"/>
    <x v="6"/>
    <x v="1"/>
    <n v="18"/>
    <n v="14"/>
    <n v="252"/>
    <n v="108"/>
    <n v="144"/>
    <n v="80"/>
    <n v="25"/>
    <x v="0"/>
    <s v="PASS"/>
    <n v="0.5714285714285714"/>
  </r>
  <r>
    <x v="18"/>
    <s v="ORD-119"/>
    <s v="Cedar Tech Solutions"/>
    <x v="15"/>
    <x v="3"/>
    <x v="7"/>
    <x v="2"/>
    <n v="9"/>
    <n v="95"/>
    <n v="855"/>
    <n v="495"/>
    <n v="360"/>
    <n v="26"/>
    <n v="8"/>
    <x v="0"/>
    <s v="PASS"/>
    <n v="0.42105263157894735"/>
  </r>
  <r>
    <x v="19"/>
    <s v="ORD-120"/>
    <s v="Lakeview Distribution"/>
    <x v="16"/>
    <x v="4"/>
    <x v="8"/>
    <x v="3"/>
    <n v="35"/>
    <n v="7"/>
    <n v="245"/>
    <n v="105"/>
    <n v="140"/>
    <n v="110"/>
    <n v="35"/>
    <x v="0"/>
    <s v="PASS"/>
    <n v="0.5714285714285714"/>
  </r>
  <r>
    <x v="20"/>
    <s v="ORD-121"/>
    <s v="Maple Retail Co"/>
    <x v="17"/>
    <x v="0"/>
    <x v="4"/>
    <x v="0"/>
    <n v="2"/>
    <n v="980"/>
    <n v="1960"/>
    <n v="1440"/>
    <n v="520"/>
    <n v="5"/>
    <n v="6"/>
    <x v="1"/>
    <s v="PASS"/>
    <n v="0.26530612244897961"/>
  </r>
  <r>
    <x v="21"/>
    <s v="ORD-122"/>
    <s v="North Star Supplies"/>
    <x v="18"/>
    <x v="1"/>
    <x v="5"/>
    <x v="1"/>
    <n v="40"/>
    <n v="11"/>
    <n v="440"/>
    <n v="240"/>
    <n v="200"/>
    <n v="160"/>
    <n v="40"/>
    <x v="0"/>
    <s v="PASS"/>
    <n v="0.45454545454545453"/>
  </r>
  <r>
    <x v="22"/>
    <s v="ORD-123"/>
    <s v="BluePeak Manufacturing"/>
    <x v="19"/>
    <x v="2"/>
    <x v="6"/>
    <x v="2"/>
    <n v="6"/>
    <n v="175"/>
    <n v="1050"/>
    <n v="630"/>
    <n v="420"/>
    <n v="15"/>
    <n v="10"/>
    <x v="0"/>
    <s v="PASS"/>
    <n v="0.4"/>
  </r>
  <r>
    <x v="23"/>
    <s v="ORD-124"/>
    <s v="WestBridge Services"/>
    <x v="0"/>
    <x v="3"/>
    <x v="7"/>
    <x v="3"/>
    <n v="5"/>
    <n v="255"/>
    <n v="1275"/>
    <n v="825"/>
    <n v="450"/>
    <n v="24"/>
    <n v="8"/>
    <x v="0"/>
    <s v="PASS"/>
    <n v="0.35294117647058826"/>
  </r>
  <r>
    <x v="24"/>
    <s v="ORD-125"/>
    <s v="Prairie Foods"/>
    <x v="20"/>
    <x v="4"/>
    <x v="8"/>
    <x v="0"/>
    <n v="28"/>
    <n v="12"/>
    <n v="336"/>
    <n v="168"/>
    <n v="168"/>
    <n v="12"/>
    <n v="20"/>
    <x v="1"/>
    <s v="PASS"/>
    <n v="0.5"/>
  </r>
  <r>
    <x v="25"/>
    <s v="ORD-126"/>
    <s v="Oak Valley Group"/>
    <x v="2"/>
    <x v="0"/>
    <x v="4"/>
    <x v="1"/>
    <n v="4"/>
    <n v="430"/>
    <n v="1720"/>
    <n v="1240"/>
    <n v="480"/>
    <n v="19"/>
    <n v="6"/>
    <x v="0"/>
    <s v="PASS"/>
    <n v="0.27906976744186046"/>
  </r>
  <r>
    <x v="26"/>
    <s v="ORD-127"/>
    <s v="RiverStone Logistics"/>
    <x v="3"/>
    <x v="2"/>
    <x v="5"/>
    <x v="2"/>
    <n v="3"/>
    <n v="515"/>
    <n v="1545"/>
    <n v="1035"/>
    <n v="510"/>
    <n v="10"/>
    <n v="7"/>
    <x v="0"/>
    <s v="PASS"/>
    <n v="0.3300970873786408"/>
  </r>
  <r>
    <x v="27"/>
    <s v="ORD-128"/>
    <s v="Summit Office Inc"/>
    <x v="4"/>
    <x v="1"/>
    <x v="6"/>
    <x v="3"/>
    <n v="15"/>
    <n v="36"/>
    <n v="540"/>
    <n v="315"/>
    <n v="225"/>
    <n v="18"/>
    <n v="20"/>
    <x v="1"/>
    <s v="PASS"/>
    <n v="0.41666666666666669"/>
  </r>
  <r>
    <x v="28"/>
    <s v="ORD-129"/>
    <s v="Cedar Tech Solutions"/>
    <x v="5"/>
    <x v="3"/>
    <x v="7"/>
    <x v="0"/>
    <n v="22"/>
    <n v="42"/>
    <n v="924"/>
    <n v="528"/>
    <n v="396"/>
    <n v="85"/>
    <n v="25"/>
    <x v="0"/>
    <s v="PASS"/>
    <n v="0.42857142857142855"/>
  </r>
  <r>
    <x v="29"/>
    <s v="ORD-130"/>
    <s v="Lakeview Distribution"/>
    <x v="6"/>
    <x v="4"/>
    <x v="8"/>
    <x v="1"/>
    <n v="80"/>
    <n v="3.2"/>
    <n v="256"/>
    <n v="128"/>
    <n v="128"/>
    <n v="140"/>
    <n v="35"/>
    <x v="0"/>
    <s v="PASS"/>
    <n v="0.5"/>
  </r>
  <r>
    <x v="30"/>
    <s v="ORD-131"/>
    <s v="Maple Retail Co"/>
    <x v="7"/>
    <x v="0"/>
    <x v="4"/>
    <x v="2"/>
    <n v="5"/>
    <n v="790"/>
    <n v="3950"/>
    <n v="2850"/>
    <n v="1100"/>
    <n v="15"/>
    <n v="7"/>
    <x v="0"/>
    <s v="PASS"/>
    <n v="0.27848101265822783"/>
  </r>
  <r>
    <x v="31"/>
    <s v="ORD-132"/>
    <s v="North Star Supplies"/>
    <x v="8"/>
    <x v="1"/>
    <x v="5"/>
    <x v="3"/>
    <n v="50"/>
    <n v="5.5"/>
    <n v="275"/>
    <n v="140"/>
    <n v="135"/>
    <n v="180"/>
    <n v="50"/>
    <x v="0"/>
    <s v="PASS"/>
    <n v="0.49090909090909091"/>
  </r>
  <r>
    <x v="32"/>
    <s v="ORD-133"/>
    <s v="BluePeak Manufacturing"/>
    <x v="9"/>
    <x v="2"/>
    <x v="6"/>
    <x v="0"/>
    <n v="4"/>
    <n v="350"/>
    <n v="1400"/>
    <n v="920"/>
    <n v="480"/>
    <n v="5"/>
    <n v="6"/>
    <x v="1"/>
    <s v="PASS"/>
    <n v="0.34285714285714286"/>
  </r>
  <r>
    <x v="33"/>
    <s v="ORD-134"/>
    <s v="WestBridge Services"/>
    <x v="10"/>
    <x v="3"/>
    <x v="7"/>
    <x v="1"/>
    <n v="30"/>
    <n v="27"/>
    <n v="810"/>
    <n v="390"/>
    <n v="420"/>
    <n v="45"/>
    <n v="15"/>
    <x v="0"/>
    <s v="PASS"/>
    <n v="0.51851851851851849"/>
  </r>
  <r>
    <x v="34"/>
    <s v="ORD-135"/>
    <s v="Prairie Foods"/>
    <x v="11"/>
    <x v="4"/>
    <x v="8"/>
    <x v="2"/>
    <n v="70"/>
    <n v="4.8"/>
    <n v="336"/>
    <n v="147"/>
    <n v="189"/>
    <n v="170"/>
    <n v="60"/>
    <x v="0"/>
    <s v="PASS"/>
    <n v="0.5625"/>
  </r>
  <r>
    <x v="35"/>
    <s v="ORD-136"/>
    <s v="Oak Valley Group"/>
    <x v="12"/>
    <x v="0"/>
    <x v="4"/>
    <x v="3"/>
    <n v="14"/>
    <n v="88"/>
    <n v="1232"/>
    <n v="672"/>
    <n v="560"/>
    <n v="8"/>
    <n v="10"/>
    <x v="1"/>
    <s v="PASS"/>
    <n v="0.45454545454545453"/>
  </r>
  <r>
    <x v="36"/>
    <s v="ORD-137"/>
    <s v="RiverStone Logistics"/>
    <x v="13"/>
    <x v="2"/>
    <x v="5"/>
    <x v="0"/>
    <n v="5"/>
    <n v="215"/>
    <n v="1075"/>
    <n v="675"/>
    <n v="400"/>
    <n v="18"/>
    <n v="8"/>
    <x v="0"/>
    <s v="PASS"/>
    <n v="0.37209302325581395"/>
  </r>
  <r>
    <x v="37"/>
    <s v="ORD-138"/>
    <s v="Summit Office Inc"/>
    <x v="14"/>
    <x v="1"/>
    <x v="6"/>
    <x v="1"/>
    <n v="25"/>
    <n v="13"/>
    <n v="325"/>
    <n v="150"/>
    <n v="175"/>
    <n v="90"/>
    <n v="25"/>
    <x v="0"/>
    <s v="PASS"/>
    <n v="0.53846153846153844"/>
  </r>
  <r>
    <x v="38"/>
    <s v="ORD-139"/>
    <s v="Cedar Tech Solutions"/>
    <x v="15"/>
    <x v="3"/>
    <x v="7"/>
    <x v="2"/>
    <n v="11"/>
    <n v="98"/>
    <n v="1078"/>
    <n v="638"/>
    <n v="440"/>
    <n v="30"/>
    <n v="8"/>
    <x v="0"/>
    <s v="PASS"/>
    <n v="0.40816326530612246"/>
  </r>
  <r>
    <x v="39"/>
    <s v="ORD-140"/>
    <s v="Lakeview Distribution"/>
    <x v="16"/>
    <x v="4"/>
    <x v="8"/>
    <x v="3"/>
    <n v="42"/>
    <n v="7.5"/>
    <n v="315"/>
    <n v="134.4"/>
    <n v="180.6"/>
    <n v="20"/>
    <n v="35"/>
    <x v="1"/>
    <s v="PASS"/>
    <n v="0.57333333333333336"/>
  </r>
  <r>
    <x v="40"/>
    <s v="ORD-141"/>
    <s v="Maple Retail Co"/>
    <x v="17"/>
    <x v="0"/>
    <x v="4"/>
    <x v="0"/>
    <n v="4"/>
    <n v="970"/>
    <n v="3880"/>
    <n v="2840"/>
    <n v="1040"/>
    <n v="20"/>
    <n v="5"/>
    <x v="0"/>
    <s v="PASS"/>
    <n v="0.26804123711340205"/>
  </r>
  <r>
    <x v="41"/>
    <s v="ORD-142"/>
    <s v="North Star Supplies"/>
    <x v="18"/>
    <x v="1"/>
    <x v="5"/>
    <x v="1"/>
    <n v="55"/>
    <n v="12"/>
    <n v="660"/>
    <n v="385"/>
    <n v="275"/>
    <n v="130"/>
    <n v="40"/>
    <x v="0"/>
    <s v="PASS"/>
    <n v="0.41666666666666669"/>
  </r>
  <r>
    <x v="42"/>
    <s v="ORD-143"/>
    <s v="BluePeak Manufacturing"/>
    <x v="19"/>
    <x v="2"/>
    <x v="6"/>
    <x v="2"/>
    <n v="7"/>
    <n v="185"/>
    <n v="1295"/>
    <n v="805"/>
    <n v="490"/>
    <n v="7"/>
    <n v="10"/>
    <x v="1"/>
    <s v="PASS"/>
    <n v="0.3783783783783784"/>
  </r>
  <r>
    <x v="43"/>
    <s v="ORD-144"/>
    <s v="WestBridge Services"/>
    <x v="0"/>
    <x v="3"/>
    <x v="7"/>
    <x v="3"/>
    <n v="6"/>
    <n v="265"/>
    <n v="1590"/>
    <n v="1050"/>
    <n v="540"/>
    <n v="28"/>
    <n v="8"/>
    <x v="0"/>
    <s v="PASS"/>
    <n v="0.33962264150943394"/>
  </r>
  <r>
    <x v="44"/>
    <s v="ORD-145"/>
    <s v="Prairie Foods"/>
    <x v="1"/>
    <x v="4"/>
    <x v="8"/>
    <x v="0"/>
    <n v="65"/>
    <n v="8.5"/>
    <n v="552.5"/>
    <n v="273"/>
    <n v="279.5"/>
    <n v="105"/>
    <n v="30"/>
    <x v="0"/>
    <s v="PASS"/>
    <n v="0.50588235294117645"/>
  </r>
  <r>
    <x v="45"/>
    <s v="ORD-146"/>
    <s v="Oak Valley Group"/>
    <x v="2"/>
    <x v="0"/>
    <x v="4"/>
    <x v="1"/>
    <n v="8"/>
    <n v="425"/>
    <n v="3400"/>
    <n v="2440"/>
    <n v="960"/>
    <n v="14"/>
    <n v="6"/>
    <x v="0"/>
    <s v="PASS"/>
    <n v="0.28235294117647058"/>
  </r>
  <r>
    <x v="46"/>
    <s v="ORD-147"/>
    <s v="RiverStone Logistics"/>
    <x v="3"/>
    <x v="2"/>
    <x v="5"/>
    <x v="2"/>
    <n v="4"/>
    <n v="525"/>
    <n v="2100"/>
    <n v="1420"/>
    <n v="680"/>
    <n v="6"/>
    <n v="7"/>
    <x v="1"/>
    <s v="PASS"/>
    <n v="0.32380952380952382"/>
  </r>
  <r>
    <x v="47"/>
    <s v="ORD-148"/>
    <s v="Summit Office Inc"/>
    <x v="4"/>
    <x v="1"/>
    <x v="6"/>
    <x v="3"/>
    <n v="18"/>
    <n v="37"/>
    <n v="666"/>
    <n v="396"/>
    <n v="270"/>
    <n v="44"/>
    <n v="20"/>
    <x v="0"/>
    <s v="PASS"/>
    <n v="0.40540540540540543"/>
  </r>
  <r>
    <x v="48"/>
    <s v="ORD-149"/>
    <s v="Cedar Tech Solutions"/>
    <x v="5"/>
    <x v="3"/>
    <x v="7"/>
    <x v="0"/>
    <n v="25"/>
    <n v="46"/>
    <n v="1150"/>
    <n v="650"/>
    <n v="500"/>
    <n v="95"/>
    <n v="25"/>
    <x v="0"/>
    <s v="PASS"/>
    <n v="0.43478260869565216"/>
  </r>
  <r>
    <x v="49"/>
    <s v="ORD-150"/>
    <s v="Lakeview Distribution"/>
    <x v="6"/>
    <x v="4"/>
    <x v="8"/>
    <x v="1"/>
    <n v="90"/>
    <n v="3.1"/>
    <n v="279"/>
    <n v="135"/>
    <n v="144"/>
    <n v="150"/>
    <n v="35"/>
    <x v="0"/>
    <s v="PASS"/>
    <n v="0.5161290322580645"/>
  </r>
  <r>
    <x v="50"/>
    <s v="ORD-151"/>
    <s v="Maple Retail Co"/>
    <x v="7"/>
    <x v="0"/>
    <x v="4"/>
    <x v="2"/>
    <n v="8"/>
    <n v="795"/>
    <n v="6360"/>
    <n v="4600"/>
    <n v="1760"/>
    <n v="18"/>
    <n v="7"/>
    <x v="0"/>
    <s v="PASS"/>
    <n v="0.27672955974842767"/>
  </r>
  <r>
    <x v="51"/>
    <s v="ORD-152"/>
    <s v="North Star Supplies"/>
    <x v="8"/>
    <x v="1"/>
    <x v="5"/>
    <x v="3"/>
    <n v="65"/>
    <n v="5.8"/>
    <n v="377"/>
    <n v="195"/>
    <n v="182"/>
    <n v="40"/>
    <n v="50"/>
    <x v="1"/>
    <s v="PASS"/>
    <n v="0.48275862068965519"/>
  </r>
  <r>
    <x v="52"/>
    <s v="ORD-153"/>
    <s v="BluePeak Manufacturing"/>
    <x v="9"/>
    <x v="2"/>
    <x v="6"/>
    <x v="0"/>
    <n v="5"/>
    <n v="345"/>
    <n v="1725"/>
    <n v="1125"/>
    <n v="600"/>
    <n v="16"/>
    <n v="6"/>
    <x v="0"/>
    <s v="PASS"/>
    <n v="0.34782608695652173"/>
  </r>
  <r>
    <x v="53"/>
    <s v="ORD-154"/>
    <s v="WestBridge Services"/>
    <x v="10"/>
    <x v="3"/>
    <x v="7"/>
    <x v="1"/>
    <n v="35"/>
    <n v="29"/>
    <n v="1015"/>
    <n v="525"/>
    <n v="490"/>
    <n v="65"/>
    <n v="15"/>
    <x v="0"/>
    <s v="PASS"/>
    <n v="0.48275862068965519"/>
  </r>
  <r>
    <x v="54"/>
    <s v="ORD-155"/>
    <s v="Prairie Foods"/>
    <x v="11"/>
    <x v="4"/>
    <x v="8"/>
    <x v="2"/>
    <n v="80"/>
    <n v="5.2"/>
    <n v="416"/>
    <n v="184"/>
    <n v="232"/>
    <n v="190"/>
    <n v="60"/>
    <x v="0"/>
    <s v="PASS"/>
    <n v="0.55769230769230771"/>
  </r>
  <r>
    <x v="55"/>
    <s v="ORD-156"/>
    <s v="Oak Valley Group"/>
    <x v="12"/>
    <x v="0"/>
    <x v="4"/>
    <x v="3"/>
    <n v="16"/>
    <n v="90"/>
    <n v="1440"/>
    <n v="800"/>
    <n v="640"/>
    <n v="9"/>
    <n v="10"/>
    <x v="1"/>
    <s v="PASS"/>
    <n v="0.44444444444444442"/>
  </r>
  <r>
    <x v="56"/>
    <s v="ORD-157"/>
    <s v="RiverStone Logistics"/>
    <x v="13"/>
    <x v="2"/>
    <x v="5"/>
    <x v="0"/>
    <n v="6"/>
    <n v="220"/>
    <n v="1320"/>
    <n v="840"/>
    <n v="480"/>
    <n v="22"/>
    <n v="8"/>
    <x v="0"/>
    <s v="PASS"/>
    <n v="0.36363636363636365"/>
  </r>
  <r>
    <x v="57"/>
    <s v="ORD-158"/>
    <s v="Summit Office Inc"/>
    <x v="14"/>
    <x v="1"/>
    <x v="6"/>
    <x v="1"/>
    <n v="32"/>
    <n v="14.5"/>
    <n v="464"/>
    <n v="208"/>
    <n v="256"/>
    <n v="95"/>
    <n v="25"/>
    <x v="0"/>
    <s v="PASS"/>
    <n v="0.55172413793103448"/>
  </r>
  <r>
    <x v="58"/>
    <s v="ORD-159"/>
    <s v="Cedar Tech Solutions"/>
    <x v="15"/>
    <x v="3"/>
    <x v="7"/>
    <x v="2"/>
    <n v="13"/>
    <n v="100"/>
    <n v="1300"/>
    <n v="780"/>
    <n v="520"/>
    <n v="34"/>
    <n v="8"/>
    <x v="0"/>
    <s v="PASS"/>
    <n v="0.4"/>
  </r>
  <r>
    <x v="59"/>
    <s v="ORD-160"/>
    <s v="Lakeview Distribution"/>
    <x v="16"/>
    <x v="4"/>
    <x v="8"/>
    <x v="3"/>
    <n v="50"/>
    <n v="7.8"/>
    <n v="390"/>
    <n v="170"/>
    <n v="220"/>
    <n v="30"/>
    <n v="35"/>
    <x v="1"/>
    <s v="PASS"/>
    <n v="0.5641025641025641"/>
  </r>
  <r>
    <x v="60"/>
    <s v="ORD-161"/>
    <s v="Maple Retail Co"/>
    <x v="17"/>
    <x v="0"/>
    <x v="4"/>
    <x v="0"/>
    <n v="5"/>
    <n v="960"/>
    <n v="4800"/>
    <n v="3525"/>
    <n v="1275"/>
    <n v="19"/>
    <n v="5"/>
    <x v="0"/>
    <s v="PASS"/>
    <n v="0.265625"/>
  </r>
  <r>
    <x v="61"/>
    <s v="ORD-162"/>
    <s v="North Star Supplies"/>
    <x v="18"/>
    <x v="1"/>
    <x v="5"/>
    <x v="1"/>
    <n v="70"/>
    <n v="11.5"/>
    <n v="805"/>
    <n v="455"/>
    <n v="350"/>
    <n v="180"/>
    <n v="40"/>
    <x v="0"/>
    <s v="PASS"/>
    <n v="0.43478260869565216"/>
  </r>
  <r>
    <x v="62"/>
    <s v="ORD-163"/>
    <s v="BluePeak Manufacturing"/>
    <x v="19"/>
    <x v="2"/>
    <x v="6"/>
    <x v="2"/>
    <n v="8"/>
    <n v="190"/>
    <n v="1520"/>
    <n v="960"/>
    <n v="560"/>
    <n v="13"/>
    <n v="10"/>
    <x v="0"/>
    <s v="PASS"/>
    <n v="0.36842105263157893"/>
  </r>
  <r>
    <x v="63"/>
    <s v="ORD-164"/>
    <s v="WestBridge Services"/>
    <x v="0"/>
    <x v="3"/>
    <x v="7"/>
    <x v="3"/>
    <n v="7"/>
    <n v="270"/>
    <n v="1890"/>
    <n v="1260"/>
    <n v="630"/>
    <n v="7"/>
    <n v="8"/>
    <x v="1"/>
    <s v="PASS"/>
    <n v="0.33333333333333331"/>
  </r>
  <r>
    <x v="64"/>
    <s v="ORD-165"/>
    <s v="Prairie Foods"/>
    <x v="20"/>
    <x v="4"/>
    <x v="8"/>
    <x v="0"/>
    <n v="45"/>
    <n v="12.5"/>
    <n v="562.5"/>
    <n v="279"/>
    <n v="283.5"/>
    <n v="70"/>
    <n v="20"/>
    <x v="0"/>
    <s v="PASS"/>
    <n v="0.504"/>
  </r>
  <r>
    <x v="65"/>
    <s v="ORD-166"/>
    <s v="Oak Valley Group"/>
    <x v="2"/>
    <x v="0"/>
    <x v="4"/>
    <x v="1"/>
    <n v="9"/>
    <n v="435"/>
    <n v="3915"/>
    <n v="2835"/>
    <n v="1080"/>
    <n v="18"/>
    <n v="6"/>
    <x v="0"/>
    <s v="PASS"/>
    <n v="0.27586206896551724"/>
  </r>
  <r>
    <x v="66"/>
    <s v="ORD-167"/>
    <s v="RiverStone Logistics"/>
    <x v="3"/>
    <x v="2"/>
    <x v="5"/>
    <x v="2"/>
    <n v="5"/>
    <n v="530"/>
    <n v="2650"/>
    <n v="1800"/>
    <n v="850"/>
    <n v="12"/>
    <n v="7"/>
    <x v="0"/>
    <s v="PASS"/>
    <n v="0.32075471698113206"/>
  </r>
  <r>
    <x v="67"/>
    <s v="ORD-168"/>
    <s v="Summit Office Inc"/>
    <x v="4"/>
    <x v="1"/>
    <x v="6"/>
    <x v="3"/>
    <n v="20"/>
    <n v="38"/>
    <n v="760"/>
    <n v="460"/>
    <n v="300"/>
    <n v="15"/>
    <n v="20"/>
    <x v="1"/>
    <s v="PASS"/>
    <n v="0.39473684210526316"/>
  </r>
  <r>
    <x v="68"/>
    <s v="ORD-169"/>
    <s v="Cedar Tech Solutions"/>
    <x v="5"/>
    <x v="3"/>
    <x v="7"/>
    <x v="0"/>
    <n v="28"/>
    <n v="47"/>
    <n v="1316"/>
    <n v="756"/>
    <n v="560"/>
    <n v="100"/>
    <n v="25"/>
    <x v="0"/>
    <s v="PASS"/>
    <n v="0.42553191489361702"/>
  </r>
  <r>
    <x v="69"/>
    <s v="ORD-170"/>
    <s v="Lakeview Distribution"/>
    <x v="6"/>
    <x v="4"/>
    <x v="8"/>
    <x v="1"/>
    <n v="100"/>
    <n v="3.3"/>
    <n v="330"/>
    <n v="170"/>
    <n v="160"/>
    <n v="160"/>
    <n v="35"/>
    <x v="0"/>
    <s v="PASS"/>
    <n v="0.48484848484848486"/>
  </r>
  <r>
    <x v="70"/>
    <s v="ORD-171"/>
    <s v="Maple Retail Co"/>
    <x v="7"/>
    <x v="0"/>
    <x v="4"/>
    <x v="2"/>
    <n v="9"/>
    <n v="800"/>
    <n v="7200"/>
    <n v="5220"/>
    <n v="1980"/>
    <n v="20"/>
    <n v="7"/>
    <x v="0"/>
    <s v="PASS"/>
    <n v="0.27500000000000002"/>
  </r>
  <r>
    <x v="71"/>
    <s v="ORD-172"/>
    <s v="North Star Supplies"/>
    <x v="8"/>
    <x v="1"/>
    <x v="5"/>
    <x v="3"/>
    <n v="75"/>
    <n v="6.2"/>
    <n v="465"/>
    <n v="232.5"/>
    <n v="232.5"/>
    <n v="135"/>
    <n v="50"/>
    <x v="0"/>
    <s v="PASS"/>
    <n v="0.5"/>
  </r>
  <r>
    <x v="72"/>
    <s v="ORD-173"/>
    <s v="BluePeak Manufacturing"/>
    <x v="9"/>
    <x v="2"/>
    <x v="6"/>
    <x v="0"/>
    <n v="6"/>
    <n v="355"/>
    <n v="2130"/>
    <n v="1410"/>
    <n v="720"/>
    <n v="6"/>
    <n v="6"/>
    <x v="0"/>
    <s v="PASS"/>
    <n v="0.3380281690140845"/>
  </r>
  <r>
    <x v="73"/>
    <s v="ORD-174"/>
    <s v="WestBridge Services"/>
    <x v="10"/>
    <x v="3"/>
    <x v="7"/>
    <x v="1"/>
    <n v="40"/>
    <n v="30"/>
    <n v="1200"/>
    <n v="640"/>
    <n v="560"/>
    <n v="75"/>
    <n v="15"/>
    <x v="0"/>
    <s v="PASS"/>
    <n v="0.46666666666666667"/>
  </r>
  <r>
    <x v="74"/>
    <s v="ORD-175"/>
    <s v="Prairie Foods"/>
    <x v="11"/>
    <x v="4"/>
    <x v="8"/>
    <x v="2"/>
    <n v="90"/>
    <n v="5.5"/>
    <n v="495"/>
    <n v="225"/>
    <n v="270"/>
    <n v="210"/>
    <n v="60"/>
    <x v="0"/>
    <s v="PASS"/>
    <n v="0.54545454545454541"/>
  </r>
  <r>
    <x v="75"/>
    <s v="ORD-176"/>
    <s v="Oak Valley Group"/>
    <x v="12"/>
    <x v="0"/>
    <x v="4"/>
    <x v="3"/>
    <n v="18"/>
    <n v="92"/>
    <n v="1656"/>
    <n v="936"/>
    <n v="720"/>
    <n v="16"/>
    <n v="10"/>
    <x v="0"/>
    <s v="PASS"/>
    <n v="0.43478260869565216"/>
  </r>
  <r>
    <x v="76"/>
    <s v="ORD-177"/>
    <s v="RiverStone Logistics"/>
    <x v="13"/>
    <x v="2"/>
    <x v="5"/>
    <x v="0"/>
    <n v="7"/>
    <n v="225"/>
    <n v="1575"/>
    <n v="1015"/>
    <n v="560"/>
    <n v="7"/>
    <n v="8"/>
    <x v="1"/>
    <s v="PASS"/>
    <n v="0.35555555555555557"/>
  </r>
  <r>
    <x v="77"/>
    <s v="ORD-178"/>
    <s v="Summit Office Inc"/>
    <x v="14"/>
    <x v="1"/>
    <x v="6"/>
    <x v="1"/>
    <n v="36"/>
    <n v="15"/>
    <n v="540"/>
    <n v="252"/>
    <n v="288"/>
    <n v="110"/>
    <n v="25"/>
    <x v="0"/>
    <s v="PASS"/>
    <n v="0.53333333333333333"/>
  </r>
  <r>
    <x v="78"/>
    <s v="ORD-179"/>
    <s v="Cedar Tech Solutions"/>
    <x v="15"/>
    <x v="3"/>
    <x v="7"/>
    <x v="2"/>
    <n v="15"/>
    <n v="105"/>
    <n v="1575"/>
    <n v="930"/>
    <n v="645"/>
    <n v="32"/>
    <n v="8"/>
    <x v="0"/>
    <s v="PASS"/>
    <n v="0.40952380952380951"/>
  </r>
  <r>
    <x v="79"/>
    <s v="ORD-180"/>
    <s v="Lakeview Distribution"/>
    <x v="16"/>
    <x v="4"/>
    <x v="8"/>
    <x v="3"/>
    <n v="58"/>
    <n v="8"/>
    <n v="464"/>
    <n v="203"/>
    <n v="261"/>
    <n v="95"/>
    <n v="35"/>
    <x v="0"/>
    <s v="PASS"/>
    <n v="0.5625"/>
  </r>
  <r>
    <x v="80"/>
    <s v="ORD-181"/>
    <s v="Maple Retail Co"/>
    <x v="17"/>
    <x v="0"/>
    <x v="4"/>
    <x v="0"/>
    <n v="6"/>
    <n v="990"/>
    <n v="5940"/>
    <n v="4380"/>
    <n v="1560"/>
    <n v="4"/>
    <n v="5"/>
    <x v="1"/>
    <s v="PASS"/>
    <n v="0.26262626262626265"/>
  </r>
  <r>
    <x v="81"/>
    <s v="ORD-182"/>
    <s v="North Star Supplies"/>
    <x v="18"/>
    <x v="1"/>
    <x v="5"/>
    <x v="1"/>
    <n v="85"/>
    <n v="12.2"/>
    <n v="1037"/>
    <n v="612"/>
    <n v="425"/>
    <n v="145"/>
    <n v="40"/>
    <x v="0"/>
    <s v="PASS"/>
    <n v="0.4098360655737705"/>
  </r>
  <r>
    <x v="82"/>
    <s v="ORD-183"/>
    <s v="BluePeak Manufacturing"/>
    <x v="19"/>
    <x v="2"/>
    <x v="6"/>
    <x v="2"/>
    <n v="9"/>
    <n v="195"/>
    <n v="1755"/>
    <n v="1125"/>
    <n v="630"/>
    <n v="20"/>
    <n v="10"/>
    <x v="0"/>
    <s v="PASS"/>
    <n v="0.35897435897435898"/>
  </r>
  <r>
    <x v="83"/>
    <s v="ORD-184"/>
    <s v="WestBridge Services"/>
    <x v="0"/>
    <x v="3"/>
    <x v="7"/>
    <x v="3"/>
    <n v="8"/>
    <n v="275"/>
    <n v="2200"/>
    <n v="1480"/>
    <n v="720"/>
    <n v="26"/>
    <n v="8"/>
    <x v="0"/>
    <s v="PASS"/>
    <n v="0.32727272727272727"/>
  </r>
  <r>
    <x v="84"/>
    <s v="ORD-185"/>
    <s v="Prairie Foods"/>
    <x v="1"/>
    <x v="4"/>
    <x v="8"/>
    <x v="0"/>
    <n v="90"/>
    <n v="8.8000000000000007"/>
    <n v="792"/>
    <n v="396"/>
    <n v="396"/>
    <n v="115"/>
    <n v="30"/>
    <x v="0"/>
    <s v="PASS"/>
    <n v="0.5"/>
  </r>
  <r>
    <x v="85"/>
    <s v="ORD-186"/>
    <s v="Oak Valley Group"/>
    <x v="2"/>
    <x v="0"/>
    <x v="4"/>
    <x v="1"/>
    <n v="10"/>
    <n v="440"/>
    <n v="4400"/>
    <n v="3200"/>
    <n v="1200"/>
    <n v="17"/>
    <n v="6"/>
    <x v="0"/>
    <s v="PASS"/>
    <n v="0.27272727272727271"/>
  </r>
  <r>
    <x v="86"/>
    <s v="ORD-187"/>
    <s v="RiverStone Logistics"/>
    <x v="3"/>
    <x v="2"/>
    <x v="5"/>
    <x v="2"/>
    <n v="6"/>
    <n v="540"/>
    <n v="3240"/>
    <n v="2220"/>
    <n v="1020"/>
    <n v="5"/>
    <n v="7"/>
    <x v="1"/>
    <s v="PASS"/>
    <n v="0.31481481481481483"/>
  </r>
  <r>
    <x v="87"/>
    <s v="ORD-188"/>
    <s v="Summit Office Inc"/>
    <x v="4"/>
    <x v="1"/>
    <x v="6"/>
    <x v="3"/>
    <n v="24"/>
    <n v="39"/>
    <n v="936"/>
    <n v="576"/>
    <n v="360"/>
    <n v="50"/>
    <n v="20"/>
    <x v="0"/>
    <s v="PASS"/>
    <n v="0.38461538461538464"/>
  </r>
  <r>
    <x v="88"/>
    <s v="ORD-189"/>
    <s v="Cedar Tech Solutions"/>
    <x v="5"/>
    <x v="3"/>
    <x v="7"/>
    <x v="0"/>
    <n v="32"/>
    <n v="48"/>
    <n v="1536"/>
    <n v="896"/>
    <n v="640"/>
    <n v="115"/>
    <n v="25"/>
    <x v="0"/>
    <s v="PASS"/>
    <n v="0.41666666666666669"/>
  </r>
  <r>
    <x v="89"/>
    <s v="ORD-190"/>
    <s v="Lakeview Distribution"/>
    <x v="6"/>
    <x v="4"/>
    <x v="8"/>
    <x v="1"/>
    <n v="120"/>
    <n v="3.4"/>
    <n v="408"/>
    <n v="216"/>
    <n v="192"/>
    <n v="30"/>
    <n v="35"/>
    <x v="1"/>
    <s v="PASS"/>
    <n v="0.47058823529411764"/>
  </r>
  <r>
    <x v="90"/>
    <s v="ORD-191"/>
    <s v="Maple Retail Co"/>
    <x v="7"/>
    <x v="0"/>
    <x v="4"/>
    <x v="2"/>
    <n v="10"/>
    <n v="810"/>
    <n v="8100"/>
    <n v="5900"/>
    <n v="2200"/>
    <n v="22"/>
    <n v="7"/>
    <x v="0"/>
    <s v="PASS"/>
    <n v="0.27160493827160492"/>
  </r>
  <r>
    <x v="91"/>
    <s v="ORD-192"/>
    <s v="North Star Supplies"/>
    <x v="8"/>
    <x v="1"/>
    <x v="5"/>
    <x v="3"/>
    <n v="90"/>
    <n v="6.5"/>
    <n v="585"/>
    <n v="288"/>
    <n v="297"/>
    <n v="160"/>
    <n v="50"/>
    <x v="0"/>
    <s v="PASS"/>
    <n v="0.50769230769230766"/>
  </r>
  <r>
    <x v="92"/>
    <s v="ORD-193"/>
    <s v="BluePeak Manufacturing"/>
    <x v="9"/>
    <x v="2"/>
    <x v="6"/>
    <x v="0"/>
    <n v="7"/>
    <n v="360"/>
    <n v="2520"/>
    <n v="1680"/>
    <n v="840"/>
    <n v="14"/>
    <n v="6"/>
    <x v="0"/>
    <s v="PASS"/>
    <n v="0.33333333333333331"/>
  </r>
  <r>
    <x v="93"/>
    <s v="ORD-194"/>
    <s v="WestBridge Services"/>
    <x v="10"/>
    <x v="3"/>
    <x v="7"/>
    <x v="1"/>
    <n v="45"/>
    <n v="31"/>
    <n v="1395"/>
    <n v="765"/>
    <n v="630"/>
    <n v="12"/>
    <n v="15"/>
    <x v="1"/>
    <s v="PASS"/>
    <n v="0.45161290322580644"/>
  </r>
  <r>
    <x v="94"/>
    <s v="ORD-195"/>
    <s v="Prairie Foods"/>
    <x v="11"/>
    <x v="4"/>
    <x v="8"/>
    <x v="2"/>
    <n v="100"/>
    <n v="5.7"/>
    <n v="570"/>
    <n v="270"/>
    <n v="300"/>
    <n v="230"/>
    <n v="60"/>
    <x v="0"/>
    <s v="PASS"/>
    <n v="0.52631578947368418"/>
  </r>
  <r>
    <x v="95"/>
    <s v="ORD-196"/>
    <s v="Oak Valley Group"/>
    <x v="12"/>
    <x v="0"/>
    <x v="4"/>
    <x v="3"/>
    <n v="20"/>
    <n v="95"/>
    <n v="1900"/>
    <n v="1100"/>
    <n v="800"/>
    <n v="24"/>
    <n v="10"/>
    <x v="0"/>
    <s v="PASS"/>
    <n v="0.42105263157894735"/>
  </r>
  <r>
    <x v="96"/>
    <s v="ORD-197"/>
    <s v="RiverStone Logistics"/>
    <x v="13"/>
    <x v="2"/>
    <x v="5"/>
    <x v="0"/>
    <n v="8"/>
    <n v="230"/>
    <n v="1840"/>
    <n v="1200"/>
    <n v="640"/>
    <n v="14"/>
    <n v="8"/>
    <x v="0"/>
    <s v="PASS"/>
    <n v="0.34782608695652173"/>
  </r>
  <r>
    <x v="97"/>
    <s v="ORD-198"/>
    <s v="Summit Office Inc"/>
    <x v="14"/>
    <x v="1"/>
    <x v="6"/>
    <x v="1"/>
    <n v="40"/>
    <n v="15.5"/>
    <n v="620"/>
    <n v="300"/>
    <n v="320"/>
    <n v="20"/>
    <n v="25"/>
    <x v="1"/>
    <s v="PASS"/>
    <n v="0.5161290322580645"/>
  </r>
  <r>
    <x v="98"/>
    <s v="ORD-199"/>
    <s v="Cedar Tech Solutions"/>
    <x v="15"/>
    <x v="3"/>
    <x v="7"/>
    <x v="2"/>
    <n v="18"/>
    <n v="108"/>
    <n v="1944"/>
    <n v="1170"/>
    <n v="774"/>
    <n v="45"/>
    <n v="8"/>
    <x v="0"/>
    <s v="PASS"/>
    <n v="0.39814814814814814"/>
  </r>
  <r>
    <x v="99"/>
    <s v="ORD-200"/>
    <s v="Lakeview Distribution"/>
    <x v="16"/>
    <x v="4"/>
    <x v="8"/>
    <x v="3"/>
    <n v="65"/>
    <n v="8.1999999999999993"/>
    <n v="533"/>
    <n v="240.5"/>
    <n v="292.5"/>
    <n v="100"/>
    <n v="35"/>
    <x v="0"/>
    <s v="PASS"/>
    <n v="0.548780487804878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96D37-4094-436C-B826-3564168C4AA7}" name="Sales by Category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Category">
  <location ref="F3:G9" firstHeaderRow="1" firstDataRow="1" firstDataCol="1"/>
  <pivotFields count="19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10">
        <item x="6"/>
        <item x="2"/>
        <item x="7"/>
        <item x="8"/>
        <item x="1"/>
        <item x="4"/>
        <item x="3"/>
        <item x="5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_Sales" fld="9" baseField="0" baseItem="0"/>
  </dataFields>
  <chartFormats count="6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D45D7-CD35-435E-81DB-C8B8022CD398}" name="Sales by Month" cacheId="4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 rowHeaderCaption="Months">
  <location ref="B3:C14" firstHeaderRow="1" firstDataRow="1" firstDataCol="1"/>
  <pivotFields count="19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4"/>
        <item x="3"/>
        <item t="default"/>
      </items>
    </pivotField>
    <pivotField showAll="0">
      <items count="10">
        <item x="6"/>
        <item x="2"/>
        <item x="7"/>
        <item x="8"/>
        <item x="1"/>
        <item x="4"/>
        <item x="3"/>
        <item x="5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 sd="0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Total_Sales" fld="9" baseField="17" baseItem="3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1050E-1A0C-418C-95DF-60AF13FB4EF7}" name="TablaDinámica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Product">
  <location ref="K5:L11" firstHeaderRow="1" firstDataRow="1" firstDataCol="1" rowPageCount="1" colPageCount="1"/>
  <pivotFields count="19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/>
    <pivotField showAll="0"/>
    <pivotField axis="axisRow" showAll="0" measureFilter="1" sortType="descending">
      <items count="22">
        <item x="13"/>
        <item x="19"/>
        <item x="12"/>
        <item x="4"/>
        <item x="5"/>
        <item x="11"/>
        <item x="17"/>
        <item x="0"/>
        <item x="10"/>
        <item x="8"/>
        <item x="9"/>
        <item x="6"/>
        <item x="18"/>
        <item x="20"/>
        <item x="1"/>
        <item x="7"/>
        <item x="3"/>
        <item x="14"/>
        <item x="2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1"/>
        <item x="4"/>
        <item x="3"/>
        <item t="default"/>
      </items>
    </pivotField>
    <pivotField showAll="0">
      <items count="10">
        <item x="6"/>
        <item x="2"/>
        <item x="7"/>
        <item x="8"/>
        <item x="1"/>
        <item x="4"/>
        <item x="3"/>
        <item x="5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4"/>
    </i>
    <i>
      <x v="1"/>
    </i>
    <i>
      <x v="6"/>
    </i>
    <i>
      <x v="12"/>
    </i>
    <i>
      <x v="13"/>
    </i>
    <i t="grand">
      <x/>
    </i>
  </rowItems>
  <colItems count="1">
    <i/>
  </colItems>
  <pageFields count="1">
    <pageField fld="14" hier="-1"/>
  </pageFields>
  <dataFields count="1">
    <dataField name="Cuenta de Order_ID" fld="1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3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A792F-3E32-42A7-9B5C-2A72890380E6}" name="Sum of Profit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Sales Rep">
  <location ref="P3:Q8" firstHeaderRow="1" firstDataRow="1" firstDataCol="1"/>
  <pivotFields count="19"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>
      <items count="6">
        <item x="0"/>
        <item x="2"/>
        <item x="1"/>
        <item x="4"/>
        <item x="3"/>
        <item t="default"/>
      </items>
    </pivotField>
    <pivotField showAll="0">
      <items count="10">
        <item x="6"/>
        <item x="2"/>
        <item x="7"/>
        <item x="8"/>
        <item x="1"/>
        <item x="4"/>
        <item x="3"/>
        <item x="5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ofit" fld="11" baseField="0" baseItem="0"/>
  </dataFields>
  <chartFormats count="5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8183B96D-7A15-4CBB-80F0-4D2B1E866E77}" sourceName="Region">
  <pivotTables>
    <pivotTable tabId="3" name="Sales by Category"/>
    <pivotTable tabId="3" name="Sales by Month"/>
    <pivotTable tabId="3" name="Sum of Profit"/>
    <pivotTable tabId="3" name="TablaDinámica3"/>
  </pivotTables>
  <data>
    <tabular pivotCacheId="1231751495">
      <items count="9">
        <i x="6" s="1"/>
        <i x="2" s="1"/>
        <i x="7" s="1"/>
        <i x="8" s="1"/>
        <i x="1" s="1"/>
        <i x="4" s="1"/>
        <i x="3" s="1"/>
        <i x="5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les_Rep" xr10:uid="{2829CD36-05EE-4DE2-8A15-5AF09C17E41F}" sourceName="Sales_Rep">
  <pivotTables>
    <pivotTable tabId="3" name="Sales by Category"/>
    <pivotTable tabId="3" name="Sales by Month"/>
    <pivotTable tabId="3" name="Sum of Profit"/>
    <pivotTable tabId="3" name="TablaDinámica3"/>
  </pivotTables>
  <data>
    <tabular pivotCacheId="1231751495">
      <items count="4">
        <i x="0" s="1"/>
        <i x="1" s="1"/>
        <i x="3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7894C84F-5189-4100-A014-C6AF9A77E64A}" sourceName="Category">
  <pivotTables>
    <pivotTable tabId="3" name="Sales by Category"/>
    <pivotTable tabId="3" name="Sales by Month"/>
    <pivotTable tabId="3" name="Sum of Profit"/>
    <pivotTable tabId="3" name="TablaDinámica3"/>
  </pivotTables>
  <data>
    <tabular pivotCacheId="1231751495">
      <items count="5">
        <i x="0" s="1"/>
        <i x="2" s="1"/>
        <i x="1" s="1"/>
        <i x="4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1D8BE614-6CF2-470B-B071-4429F2725936}" sourceName="Status">
  <pivotTables>
    <pivotTable tabId="3" name="Sales by Category"/>
    <pivotTable tabId="3" name="Sales by Month"/>
    <pivotTable tabId="3" name="Sum of Profit"/>
    <pivotTable tabId="3" name="TablaDinámica3"/>
  </pivotTables>
  <data>
    <tabular pivotCacheId="1231751495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58CC3DE-93A0-427E-9CF6-7170EBD4B5F6}" cache="SegmentaciónDeDatos_Region" caption="Region" style="SlicerStyleDark1" rowHeight="257175"/>
  <slicer name="Sales_Rep" xr10:uid="{8E3E633B-5951-4A92-A5C6-EF3A843DA337}" cache="SegmentaciónDeDatos_Sales_Rep" caption="Sales_Rep" style="SlicerStyleDark1" rowHeight="257175"/>
  <slicer name="Category" xr10:uid="{F16B6145-939C-4E4A-8C91-C4745488F9D5}" cache="SegmentaciónDeDatos_Category" caption="Category" style="SlicerStyleDark1" rowHeight="257175"/>
  <slicer name="Status" xr10:uid="{9FEB3BBE-D2BC-4F14-B373-A4535751A81C}" cache="SegmentaciónDeDatos_Status" caption="Status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9C376-73B1-47C4-B027-CD77AAF74A1C}" name="tbl_sales" displayName="tbl_sales" ref="A1:P116" totalsRowShown="0">
  <autoFilter ref="A1:P116" xr:uid="{4459C376-73B1-47C4-B027-CD77AAF74A1C}"/>
  <tableColumns count="16">
    <tableColumn id="1" xr3:uid="{9A03267F-2678-41AB-8E97-67FB91DFD829}" name="Date" dataDxfId="9"/>
    <tableColumn id="2" xr3:uid="{3CA00A1C-BD37-4EA0-ADCD-6D0CFE78549E}" name="Order_ID"/>
    <tableColumn id="3" xr3:uid="{9028783E-A32E-489C-81F7-C7257A50ADC1}" name="Customer"/>
    <tableColumn id="4" xr3:uid="{2F8E6EC4-06A9-4241-851C-030F4C834845}" name="Product"/>
    <tableColumn id="5" xr3:uid="{74FC6B3F-21B3-4EBF-9F72-F5C7AB65FC53}" name="Category"/>
    <tableColumn id="6" xr3:uid="{10A69BA5-FA1D-45EC-8FC2-52D94CBFB4A0}" name="Region"/>
    <tableColumn id="7" xr3:uid="{0FAE23FE-BC52-44D0-85B6-DBF373A4A6F8}" name="Sales_Rep"/>
    <tableColumn id="8" xr3:uid="{91777DA9-33DD-48C7-A42D-51C87BB98AC0}" name="Quantity_Sold"/>
    <tableColumn id="9" xr3:uid="{0E565D0E-7485-4696-909A-FCEF63BA80D1}" name="Unit_Price"/>
    <tableColumn id="10" xr3:uid="{2F9C6A6F-6C17-4E0B-A7B7-0C22AB799C1F}" name="Total_Sales">
      <calculatedColumnFormula>+tbl_sales[[#This Row],[Quantity_Sold]]*tbl_sales[[#This Row],[Unit_Price]]</calculatedColumnFormula>
    </tableColumn>
    <tableColumn id="11" xr3:uid="{EF54544E-A481-4781-A74B-19078B22F803}" name="Production_Cost"/>
    <tableColumn id="12" xr3:uid="{2893D85D-5AF6-42D8-B206-23ABB2F0C3ED}" name="Profit" dataDxfId="8">
      <calculatedColumnFormula>+tbl_sales[[#This Row],[Total_Sales]]-tbl_sales[[#This Row],[Production_Cost]]</calculatedColumnFormula>
    </tableColumn>
    <tableColumn id="13" xr3:uid="{7CEEB60E-3649-4440-9DEC-44113B4C29E8}" name="Inventory_Stock"/>
    <tableColumn id="14" xr3:uid="{AB698B1B-25CC-463D-A7B7-BD62A131E4F8}" name="Reorder_Level"/>
    <tableColumn id="15" xr3:uid="{A9BB12DE-100B-4770-B3D4-E4BDC4C6BE66}" name="Status"/>
    <tableColumn id="16" xr3:uid="{432EF968-304F-4ADF-BAA4-309BB895661C}" name="Profit_Margin" dataDxfId="7">
      <calculatedColumnFormula>tbl_sales[[#This Row],[Profit]]/tbl_sales[[#This Row],[Total_Sales]]</calculatedColumn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410B62-15C3-4329-B19F-A40FC8724063}" name="Tabla4" displayName="Tabla4" ref="B11:E19" totalsRowShown="0">
  <autoFilter ref="B11:E19" xr:uid="{60410B62-15C3-4329-B19F-A40FC8724063}"/>
  <tableColumns count="4">
    <tableColumn id="1" xr3:uid="{44176539-2A77-403C-86BD-E6E63D0D2159}" name="Data Quality Check"/>
    <tableColumn id="2" xr3:uid="{125A740C-4C7A-4806-B05C-4BDA4C3326E1}" name="Method"/>
    <tableColumn id="3" xr3:uid="{114F87FE-7718-4FA2-890E-98ED128E4371}" name="Result"/>
    <tableColumn id="4" xr3:uid="{5BB53605-E408-40C1-BB0B-4B8B5E447EDE}" name="Status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82FE0C-DF52-4D13-82F2-598DAD077F6B}" name="Tabla5" displayName="Tabla5" ref="B25:G30" totalsRowShown="0">
  <autoFilter ref="B25:G30" xr:uid="{7A82FE0C-DF52-4D13-82F2-598DAD077F6B}"/>
  <tableColumns count="6">
    <tableColumn id="1" xr3:uid="{C19184CE-7237-4E78-9C0F-F8F83769D57F}" name="Order ID"/>
    <tableColumn id="2" xr3:uid="{65029707-8925-4B70-9593-3550604EE173}" name="Inventory Stock"/>
    <tableColumn id="3" xr3:uid="{0C63D317-3EEF-46B2-9636-978F073C861D}" name="Reorder Level"/>
    <tableColumn id="4" xr3:uid="{D0B4116E-69EA-4B18-BDA7-07ED59DBA3CC}" name="Current Status"/>
    <tableColumn id="5" xr3:uid="{717E1739-B71D-403B-A326-5D477FD8A9A4}" name="Expected Status"/>
    <tableColumn id="6" xr3:uid="{23C02C7F-4C5F-4532-8506-EA658C4A6BC6}" name="Validation">
      <calculatedColumnFormula>IF(E26=F26,"PASS","CHECK")</calculatedColumnFormula>
    </tableColumn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AC6198-B966-41BB-98CF-CD235D03E8CC}" name="Tabla7" displayName="Tabla7" ref="B35:C40" totalsRowShown="0">
  <autoFilter ref="B35:C40" xr:uid="{E4AC6198-B966-41BB-98CF-CD235D03E8CC}"/>
  <tableColumns count="2">
    <tableColumn id="1" xr3:uid="{FF118C6A-F4CA-4FF2-B899-CCF175F2E145}" name="Metric"/>
    <tableColumn id="2" xr3:uid="{E7F17BE8-2255-4B19-9478-D1C849959B98}" name="Result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16A976-5337-4DC7-B942-49C281AA62E3}" name="Tabla8" displayName="Tabla8" ref="B45:C50" totalsRowShown="0">
  <autoFilter ref="B45:C50" xr:uid="{C716A976-5337-4DC7-B942-49C281AA62E3}"/>
  <tableColumns count="2">
    <tableColumn id="1" xr3:uid="{057FF58F-27C7-40B0-A75E-94843189FEA8}" name="Rule"/>
    <tableColumn id="2" xr3:uid="{97DE6388-F6DF-448D-A469-576AAF3F8786}" name="Description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396EAF-204E-4EB3-A46D-E0602EFEEF8D}" name="tbl_sales_clean" displayName="tbl_sales_clean" ref="A1:Q116" totalsRowShown="0">
  <autoFilter ref="A1:Q116" xr:uid="{89396EAF-204E-4EB3-A46D-E0602EFEEF8D}"/>
  <tableColumns count="17">
    <tableColumn id="1" xr3:uid="{E3BF99CD-BD27-47B3-8DC4-CACB08BBF0BF}" name="Date" dataDxfId="6"/>
    <tableColumn id="2" xr3:uid="{87EFF7B4-8AEA-42DB-B0CC-7C9B7EE57BC9}" name="Order_ID"/>
    <tableColumn id="3" xr3:uid="{C61FF2DA-785F-47A1-8213-96E7B2E1D656}" name="Customer"/>
    <tableColumn id="4" xr3:uid="{982C394F-9992-4277-B296-F6224951837E}" name="Product"/>
    <tableColumn id="5" xr3:uid="{45993E3A-A592-48A8-AE7F-BCB1965B736F}" name="Category"/>
    <tableColumn id="6" xr3:uid="{C42379E5-271A-4277-A2EE-18045BD2B34F}" name="Region"/>
    <tableColumn id="7" xr3:uid="{2267974D-F57A-4F6E-A85A-13B0115AEB3B}" name="Sales_Rep"/>
    <tableColumn id="8" xr3:uid="{2DBAECEA-B716-414B-873D-C9BC05D4EDFF}" name="Quantity_Sold"/>
    <tableColumn id="9" xr3:uid="{B9442706-6FF3-4801-8F7F-2BBD20A40A6C}" name="Unit_Price"/>
    <tableColumn id="10" xr3:uid="{DC63DD44-7C21-46A7-9333-BECEA786F6A3}" name="Total_Sales">
      <calculatedColumnFormula>+tbl_sales_clean[[#This Row],[Quantity_Sold]]*tbl_sales_clean[[#This Row],[Unit_Price]]</calculatedColumnFormula>
    </tableColumn>
    <tableColumn id="11" xr3:uid="{215BB8CF-0510-4D28-A7C7-4C55BEE9FD10}" name="Production_Cost"/>
    <tableColumn id="12" xr3:uid="{BD9C99B2-C487-4913-839B-A8E600C8E87F}" name="Profit" dataDxfId="5">
      <calculatedColumnFormula>+tbl_sales_clean[[#This Row],[Total_Sales]]-tbl_sales_clean[[#This Row],[Production_Cost]]</calculatedColumnFormula>
    </tableColumn>
    <tableColumn id="13" xr3:uid="{2C853900-1F31-4DF4-9D36-7BEA31F75D05}" name="Inventory_Stock"/>
    <tableColumn id="14" xr3:uid="{F437C8C2-D3EC-49A4-A021-780AB4499959}" name="Reorder_Level"/>
    <tableColumn id="15" xr3:uid="{D6656903-CE47-46C4-8D04-E6C770BC3FB4}" name="Status">
      <calculatedColumnFormula>IF(M2&lt;N2,"Low Stock","In Stock")</calculatedColumnFormula>
    </tableColumn>
    <tableColumn id="17" xr3:uid="{2A3D8FFD-56E3-4D8D-8DFF-A6EF0C42A6B9}" name="Status Validation" dataDxfId="3">
      <calculatedColumnFormula>IF(O2=IF(M2&lt;N2,"Low Stock","In Stock"),"PASS","CHECK")</calculatedColumnFormula>
    </tableColumn>
    <tableColumn id="16" xr3:uid="{81EAAD0F-A9E6-4E21-BF57-B8EED054606E}" name="Profit_Margin" dataDxfId="4">
      <calculatedColumnFormula>tbl_sales_clean[[#This Row],[Profit]]/tbl_sales_clean[[#This Row],[Total_Sales]]</calculatedColumnFormula>
    </tableColumn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AC4932-4084-4099-BF87-4AC05081DEBD}" name="Tabla3" displayName="Tabla3" ref="A7:E8" totalsRowShown="0" headerRowDxfId="13" dataDxfId="12">
  <autoFilter ref="A7:E8" xr:uid="{BBAC4932-4084-4099-BF87-4AC05081DEBD}"/>
  <tableColumns count="5">
    <tableColumn id="1" xr3:uid="{E6FA681C-5243-4D8C-B385-6E2784E25B17}" name="Total Sales" dataDxfId="2">
      <calculatedColumnFormula>SUM(tbl_sales_clean[Total_Sales])</calculatedColumnFormula>
    </tableColumn>
    <tableColumn id="2" xr3:uid="{B4FAF6AF-5CB5-4C13-8D68-F3301AC0F5D2}" name="Total Profit" dataDxfId="1">
      <calculatedColumnFormula>SUM(tbl_sales_clean[Profit])</calculatedColumnFormula>
    </tableColumn>
    <tableColumn id="3" xr3:uid="{BBC9D939-E780-4C8E-859A-A1206A151728}" name="Total Orders" dataDxfId="11">
      <calculatedColumnFormula>COUNTA(tbl_sales_clean[Order_ID])</calculatedColumnFormula>
    </tableColumn>
    <tableColumn id="4" xr3:uid="{DDE1AB70-7821-45B0-8CA2-1C068A5D1AD6}" name="Low Stock Items" dataDxfId="10">
      <calculatedColumnFormula>COUNTIF(tbl_sales_clean[Status],"Low Stock")</calculatedColumnFormula>
    </tableColumn>
    <tableColumn id="5" xr3:uid="{C0FE8FD4-6247-4D50-9C75-D96FF89C68E4}" name="Average Profit Margin" dataDxfId="0">
      <calculatedColumnFormula>AVERAGE(tbl_sales_clean[Profit_Margin])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14CE-4B5D-4C8C-A88E-2D25F01A358E}">
  <dimension ref="A1:P116"/>
  <sheetViews>
    <sheetView showGridLines="0" topLeftCell="A2" workbookViewId="0">
      <selection sqref="A1:P116"/>
    </sheetView>
  </sheetViews>
  <sheetFormatPr baseColWidth="10" defaultRowHeight="15"/>
  <cols>
    <col min="2" max="2" width="11.28515625" bestFit="1" customWidth="1"/>
    <col min="3" max="3" width="22.7109375" bestFit="1" customWidth="1"/>
    <col min="4" max="4" width="15.7109375" bestFit="1" customWidth="1"/>
    <col min="5" max="5" width="18.85546875" bestFit="1" customWidth="1"/>
    <col min="6" max="6" width="15.7109375" bestFit="1" customWidth="1"/>
    <col min="7" max="7" width="12.5703125" bestFit="1" customWidth="1"/>
    <col min="8" max="8" width="15.7109375" customWidth="1"/>
    <col min="9" max="9" width="12.28515625" customWidth="1"/>
    <col min="10" max="10" width="13.28515625" customWidth="1"/>
    <col min="11" max="11" width="18.140625" customWidth="1"/>
    <col min="13" max="13" width="17.5703125" customWidth="1"/>
    <col min="14" max="14" width="16.85546875" customWidth="1"/>
    <col min="15" max="15" width="9.5703125" bestFit="1" customWidth="1"/>
    <col min="16" max="16" width="17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25</v>
      </c>
    </row>
    <row r="2" spans="1:16">
      <c r="A2" s="1">
        <v>45312</v>
      </c>
      <c r="B2" t="s">
        <v>181</v>
      </c>
      <c r="C2" t="s">
        <v>172</v>
      </c>
      <c r="D2" t="s">
        <v>54</v>
      </c>
      <c r="E2" t="s">
        <v>37</v>
      </c>
      <c r="F2" t="s">
        <v>15</v>
      </c>
      <c r="G2" t="s">
        <v>40</v>
      </c>
      <c r="H2">
        <v>25</v>
      </c>
      <c r="I2">
        <v>4.5</v>
      </c>
      <c r="J2">
        <f>+tbl_sales[[#This Row],[Quantity_Sold]]*tbl_sales[[#This Row],[Unit_Price]]</f>
        <v>112.5</v>
      </c>
      <c r="K2">
        <v>70</v>
      </c>
      <c r="L2">
        <f>+tbl_sales[[#This Row],[Total_Sales]]-tbl_sales[[#This Row],[Production_Cost]]</f>
        <v>42.5</v>
      </c>
      <c r="M2">
        <v>120</v>
      </c>
      <c r="N2">
        <v>50</v>
      </c>
      <c r="O2" t="s">
        <v>17</v>
      </c>
      <c r="P2">
        <f>tbl_sales[[#This Row],[Profit]]/tbl_sales[[#This Row],[Total_Sales]]</f>
        <v>0.37777777777777777</v>
      </c>
    </row>
    <row r="3" spans="1:16">
      <c r="A3" s="1">
        <v>45296</v>
      </c>
      <c r="B3" t="s">
        <v>182</v>
      </c>
      <c r="C3" t="s">
        <v>173</v>
      </c>
      <c r="D3" t="s">
        <v>59</v>
      </c>
      <c r="E3" t="s">
        <v>43</v>
      </c>
      <c r="F3" t="s">
        <v>16</v>
      </c>
      <c r="G3" t="s">
        <v>45</v>
      </c>
      <c r="H3">
        <v>40</v>
      </c>
      <c r="I3">
        <v>3.2</v>
      </c>
      <c r="J3">
        <f>+tbl_sales[[#This Row],[Quantity_Sold]]*tbl_sales[[#This Row],[Unit_Price]]</f>
        <v>128</v>
      </c>
      <c r="K3">
        <v>80</v>
      </c>
      <c r="L3">
        <f>+tbl_sales[[#This Row],[Total_Sales]]-tbl_sales[[#This Row],[Production_Cost]]</f>
        <v>48</v>
      </c>
      <c r="M3">
        <v>35</v>
      </c>
      <c r="N3">
        <v>40</v>
      </c>
      <c r="O3" t="s">
        <v>39</v>
      </c>
      <c r="P3">
        <f>tbl_sales[[#This Row],[Profit]]/tbl_sales[[#This Row],[Total_Sales]]</f>
        <v>0.375</v>
      </c>
    </row>
    <row r="4" spans="1:16">
      <c r="A4" s="1">
        <v>45298</v>
      </c>
      <c r="B4" t="s">
        <v>183</v>
      </c>
      <c r="C4" t="s">
        <v>174</v>
      </c>
      <c r="D4" t="s">
        <v>61</v>
      </c>
      <c r="E4" t="s">
        <v>48</v>
      </c>
      <c r="F4" t="s">
        <v>18</v>
      </c>
      <c r="G4" t="s">
        <v>50</v>
      </c>
      <c r="H4">
        <v>30</v>
      </c>
      <c r="I4">
        <v>2.9</v>
      </c>
      <c r="J4">
        <f>+tbl_sales[[#This Row],[Quantity_Sold]]*tbl_sales[[#This Row],[Unit_Price]]</f>
        <v>87</v>
      </c>
      <c r="K4">
        <v>55</v>
      </c>
      <c r="L4">
        <f>+tbl_sales[[#This Row],[Total_Sales]]-tbl_sales[[#This Row],[Production_Cost]]</f>
        <v>32</v>
      </c>
      <c r="M4">
        <v>200</v>
      </c>
      <c r="N4">
        <v>60</v>
      </c>
      <c r="O4" t="s">
        <v>39</v>
      </c>
      <c r="P4">
        <f>tbl_sales[[#This Row],[Profit]]/tbl_sales[[#This Row],[Total_Sales]]</f>
        <v>0.36781609195402298</v>
      </c>
    </row>
    <row r="5" spans="1:16">
      <c r="A5" s="1">
        <v>45300</v>
      </c>
      <c r="B5" t="s">
        <v>184</v>
      </c>
      <c r="C5" t="s">
        <v>175</v>
      </c>
      <c r="D5" t="s">
        <v>63</v>
      </c>
      <c r="E5" t="s">
        <v>53</v>
      </c>
      <c r="F5" t="s">
        <v>15</v>
      </c>
      <c r="G5" t="s">
        <v>55</v>
      </c>
      <c r="H5">
        <v>15</v>
      </c>
      <c r="I5">
        <v>10.5</v>
      </c>
      <c r="J5">
        <f>+tbl_sales[[#This Row],[Quantity_Sold]]*tbl_sales[[#This Row],[Unit_Price]]</f>
        <v>157.5</v>
      </c>
      <c r="K5">
        <v>95</v>
      </c>
      <c r="L5">
        <f>+tbl_sales[[#This Row],[Total_Sales]]-tbl_sales[[#This Row],[Production_Cost]]</f>
        <v>62.5</v>
      </c>
      <c r="M5">
        <v>45</v>
      </c>
      <c r="N5">
        <v>30</v>
      </c>
      <c r="O5" t="s">
        <v>39</v>
      </c>
      <c r="P5">
        <f>tbl_sales[[#This Row],[Profit]]/tbl_sales[[#This Row],[Total_Sales]]</f>
        <v>0.3968253968253968</v>
      </c>
    </row>
    <row r="6" spans="1:16">
      <c r="A6" s="1">
        <v>45303</v>
      </c>
      <c r="B6" t="s">
        <v>185</v>
      </c>
      <c r="C6" t="s">
        <v>176</v>
      </c>
      <c r="D6" t="s">
        <v>65</v>
      </c>
      <c r="E6" t="s">
        <v>58</v>
      </c>
      <c r="F6" t="s">
        <v>19</v>
      </c>
      <c r="G6" t="s">
        <v>50</v>
      </c>
      <c r="H6">
        <v>50</v>
      </c>
      <c r="I6">
        <v>6</v>
      </c>
      <c r="J6">
        <f>+tbl_sales[[#This Row],[Quantity_Sold]]*tbl_sales[[#This Row],[Unit_Price]]</f>
        <v>300</v>
      </c>
      <c r="K6">
        <v>180</v>
      </c>
      <c r="L6">
        <f>+tbl_sales[[#This Row],[Total_Sales]]-tbl_sales[[#This Row],[Production_Cost]]</f>
        <v>120</v>
      </c>
      <c r="M6">
        <v>25</v>
      </c>
      <c r="N6">
        <v>35</v>
      </c>
      <c r="O6" t="s">
        <v>17</v>
      </c>
      <c r="P6">
        <f>tbl_sales[[#This Row],[Profit]]/tbl_sales[[#This Row],[Total_Sales]]</f>
        <v>0.4</v>
      </c>
    </row>
    <row r="7" spans="1:16">
      <c r="A7" s="1">
        <v>45306</v>
      </c>
      <c r="B7" t="s">
        <v>186</v>
      </c>
      <c r="C7" t="s">
        <v>177</v>
      </c>
      <c r="D7" t="s">
        <v>67</v>
      </c>
      <c r="E7" t="s">
        <v>37</v>
      </c>
      <c r="F7" t="s">
        <v>15</v>
      </c>
      <c r="G7" t="s">
        <v>55</v>
      </c>
      <c r="H7">
        <v>60</v>
      </c>
      <c r="I7">
        <v>4.5</v>
      </c>
      <c r="J7">
        <f>+tbl_sales[[#This Row],[Quantity_Sold]]*tbl_sales[[#This Row],[Unit_Price]]</f>
        <v>270</v>
      </c>
      <c r="K7">
        <v>160</v>
      </c>
      <c r="L7">
        <f>+tbl_sales[[#This Row],[Total_Sales]]-tbl_sales[[#This Row],[Production_Cost]]</f>
        <v>110</v>
      </c>
      <c r="M7">
        <v>80</v>
      </c>
      <c r="N7">
        <v>50</v>
      </c>
      <c r="O7" t="s">
        <v>39</v>
      </c>
      <c r="P7">
        <f>tbl_sales[[#This Row],[Profit]]/tbl_sales[[#This Row],[Total_Sales]]</f>
        <v>0.40740740740740738</v>
      </c>
    </row>
    <row r="8" spans="1:16">
      <c r="A8" s="1">
        <v>45309</v>
      </c>
      <c r="B8" t="s">
        <v>187</v>
      </c>
      <c r="C8" t="s">
        <v>178</v>
      </c>
      <c r="D8" t="s">
        <v>69</v>
      </c>
      <c r="E8" t="s">
        <v>48</v>
      </c>
      <c r="F8" t="s">
        <v>16</v>
      </c>
      <c r="G8" t="s">
        <v>40</v>
      </c>
      <c r="H8">
        <v>35</v>
      </c>
      <c r="I8">
        <v>5.25</v>
      </c>
      <c r="J8">
        <f>+tbl_sales[[#This Row],[Quantity_Sold]]*tbl_sales[[#This Row],[Unit_Price]]</f>
        <v>183.75</v>
      </c>
      <c r="K8">
        <v>110</v>
      </c>
      <c r="L8">
        <f>+tbl_sales[[#This Row],[Total_Sales]]-tbl_sales[[#This Row],[Production_Cost]]</f>
        <v>73.75</v>
      </c>
      <c r="M8">
        <v>90</v>
      </c>
      <c r="N8">
        <v>40</v>
      </c>
      <c r="O8" t="s">
        <v>39</v>
      </c>
      <c r="P8">
        <f>tbl_sales[[#This Row],[Profit]]/tbl_sales[[#This Row],[Total_Sales]]</f>
        <v>0.40136054421768708</v>
      </c>
    </row>
    <row r="9" spans="1:16">
      <c r="A9" s="1">
        <v>45312</v>
      </c>
      <c r="B9" t="s">
        <v>188</v>
      </c>
      <c r="C9" t="s">
        <v>179</v>
      </c>
      <c r="D9" t="s">
        <v>71</v>
      </c>
      <c r="E9" t="s">
        <v>43</v>
      </c>
      <c r="F9" t="s">
        <v>18</v>
      </c>
      <c r="G9" t="s">
        <v>45</v>
      </c>
      <c r="H9">
        <v>20</v>
      </c>
      <c r="I9">
        <v>3.2</v>
      </c>
      <c r="J9">
        <f>+tbl_sales[[#This Row],[Quantity_Sold]]*tbl_sales[[#This Row],[Unit_Price]]</f>
        <v>64</v>
      </c>
      <c r="K9">
        <v>40</v>
      </c>
      <c r="L9">
        <f>+tbl_sales[[#This Row],[Total_Sales]]-tbl_sales[[#This Row],[Production_Cost]]</f>
        <v>24</v>
      </c>
      <c r="M9">
        <v>30</v>
      </c>
      <c r="N9">
        <v>40</v>
      </c>
      <c r="O9" t="s">
        <v>17</v>
      </c>
      <c r="P9">
        <f>tbl_sales[[#This Row],[Profit]]/tbl_sales[[#This Row],[Total_Sales]]</f>
        <v>0.375</v>
      </c>
    </row>
    <row r="10" spans="1:16">
      <c r="A10" s="1">
        <v>45296</v>
      </c>
      <c r="B10" t="s">
        <v>189</v>
      </c>
      <c r="C10" t="s">
        <v>180</v>
      </c>
      <c r="D10" t="s">
        <v>73</v>
      </c>
      <c r="E10" t="s">
        <v>37</v>
      </c>
      <c r="F10" t="s">
        <v>19</v>
      </c>
      <c r="G10" t="s">
        <v>45</v>
      </c>
      <c r="H10">
        <v>45</v>
      </c>
      <c r="I10">
        <v>2.9</v>
      </c>
      <c r="J10">
        <f>+tbl_sales[[#This Row],[Quantity_Sold]]*tbl_sales[[#This Row],[Unit_Price]]</f>
        <v>130.5</v>
      </c>
      <c r="K10">
        <v>85</v>
      </c>
      <c r="L10">
        <f>+tbl_sales[[#This Row],[Total_Sales]]-tbl_sales[[#This Row],[Production_Cost]]</f>
        <v>45.5</v>
      </c>
      <c r="M10">
        <v>170</v>
      </c>
      <c r="N10">
        <v>60</v>
      </c>
      <c r="O10" t="s">
        <v>39</v>
      </c>
      <c r="P10">
        <f>tbl_sales[[#This Row],[Profit]]/tbl_sales[[#This Row],[Total_Sales]]</f>
        <v>0.34865900383141762</v>
      </c>
    </row>
    <row r="11" spans="1:16">
      <c r="A11" s="1">
        <v>45298</v>
      </c>
      <c r="B11" t="s">
        <v>190</v>
      </c>
      <c r="C11" t="s">
        <v>171</v>
      </c>
      <c r="D11" t="s">
        <v>75</v>
      </c>
      <c r="E11" t="s">
        <v>43</v>
      </c>
      <c r="F11" t="s">
        <v>15</v>
      </c>
      <c r="G11" t="s">
        <v>50</v>
      </c>
      <c r="H11">
        <v>55</v>
      </c>
      <c r="I11">
        <v>6</v>
      </c>
      <c r="J11">
        <f>+tbl_sales[[#This Row],[Quantity_Sold]]*tbl_sales[[#This Row],[Unit_Price]]</f>
        <v>330</v>
      </c>
      <c r="K11">
        <v>195</v>
      </c>
      <c r="L11">
        <f>+tbl_sales[[#This Row],[Total_Sales]]-tbl_sales[[#This Row],[Production_Cost]]</f>
        <v>135</v>
      </c>
      <c r="M11">
        <v>20</v>
      </c>
      <c r="N11">
        <v>35</v>
      </c>
      <c r="O11" t="s">
        <v>39</v>
      </c>
      <c r="P11">
        <f>tbl_sales[[#This Row],[Profit]]/tbl_sales[[#This Row],[Total_Sales]]</f>
        <v>0.40909090909090912</v>
      </c>
    </row>
    <row r="12" spans="1:16">
      <c r="A12" s="1">
        <v>45300</v>
      </c>
      <c r="B12" t="s">
        <v>191</v>
      </c>
      <c r="C12" t="s">
        <v>172</v>
      </c>
      <c r="D12" t="s">
        <v>54</v>
      </c>
      <c r="E12" t="s">
        <v>48</v>
      </c>
      <c r="F12" t="s">
        <v>16</v>
      </c>
      <c r="G12" t="s">
        <v>55</v>
      </c>
      <c r="H12">
        <v>18</v>
      </c>
      <c r="I12">
        <v>10.5</v>
      </c>
      <c r="J12">
        <f>+tbl_sales[[#This Row],[Quantity_Sold]]*tbl_sales[[#This Row],[Unit_Price]]</f>
        <v>189</v>
      </c>
      <c r="K12">
        <v>112</v>
      </c>
      <c r="L12">
        <f>+tbl_sales[[#This Row],[Total_Sales]]-tbl_sales[[#This Row],[Production_Cost]]</f>
        <v>77</v>
      </c>
      <c r="M12">
        <v>50</v>
      </c>
      <c r="N12">
        <v>30</v>
      </c>
      <c r="O12" t="s">
        <v>39</v>
      </c>
      <c r="P12">
        <f>tbl_sales[[#This Row],[Profit]]/tbl_sales[[#This Row],[Total_Sales]]</f>
        <v>0.40740740740740738</v>
      </c>
    </row>
    <row r="13" spans="1:16">
      <c r="A13" s="1">
        <v>45303</v>
      </c>
      <c r="B13" t="s">
        <v>192</v>
      </c>
      <c r="C13" t="s">
        <v>173</v>
      </c>
      <c r="D13" t="s">
        <v>59</v>
      </c>
      <c r="E13" t="s">
        <v>53</v>
      </c>
      <c r="F13" t="s">
        <v>18</v>
      </c>
      <c r="G13" t="s">
        <v>40</v>
      </c>
      <c r="H13">
        <v>28</v>
      </c>
      <c r="I13">
        <v>5.25</v>
      </c>
      <c r="J13">
        <f>+tbl_sales[[#This Row],[Quantity_Sold]]*tbl_sales[[#This Row],[Unit_Price]]</f>
        <v>147</v>
      </c>
      <c r="K13">
        <v>90</v>
      </c>
      <c r="L13">
        <f>+tbl_sales[[#This Row],[Total_Sales]]-tbl_sales[[#This Row],[Production_Cost]]</f>
        <v>57</v>
      </c>
      <c r="M13">
        <v>75</v>
      </c>
      <c r="N13">
        <v>40</v>
      </c>
      <c r="O13" t="s">
        <v>17</v>
      </c>
      <c r="P13">
        <f>tbl_sales[[#This Row],[Profit]]/tbl_sales[[#This Row],[Total_Sales]]</f>
        <v>0.38775510204081631</v>
      </c>
    </row>
    <row r="14" spans="1:16">
      <c r="A14" s="1">
        <v>45306</v>
      </c>
      <c r="B14" t="s">
        <v>193</v>
      </c>
      <c r="C14" t="s">
        <v>174</v>
      </c>
      <c r="D14" t="s">
        <v>61</v>
      </c>
      <c r="E14" t="s">
        <v>58</v>
      </c>
      <c r="F14" t="s">
        <v>19</v>
      </c>
      <c r="G14" t="s">
        <v>45</v>
      </c>
      <c r="H14">
        <v>70</v>
      </c>
      <c r="I14">
        <v>4.5</v>
      </c>
      <c r="J14">
        <f>+tbl_sales[[#This Row],[Quantity_Sold]]*tbl_sales[[#This Row],[Unit_Price]]</f>
        <v>315</v>
      </c>
      <c r="K14">
        <v>210</v>
      </c>
      <c r="L14">
        <f>+tbl_sales[[#This Row],[Total_Sales]]-tbl_sales[[#This Row],[Production_Cost]]</f>
        <v>105</v>
      </c>
      <c r="M14">
        <v>65</v>
      </c>
      <c r="N14">
        <v>50</v>
      </c>
      <c r="O14" t="s">
        <v>39</v>
      </c>
      <c r="P14">
        <f>tbl_sales[[#This Row],[Profit]]/tbl_sales[[#This Row],[Total_Sales]]</f>
        <v>0.33333333333333331</v>
      </c>
    </row>
    <row r="15" spans="1:16">
      <c r="A15" s="1">
        <v>45309</v>
      </c>
      <c r="B15" t="s">
        <v>194</v>
      </c>
      <c r="C15" t="s">
        <v>176</v>
      </c>
      <c r="D15" t="s">
        <v>63</v>
      </c>
      <c r="E15" t="s">
        <v>37</v>
      </c>
      <c r="F15" t="s">
        <v>15</v>
      </c>
      <c r="G15" t="s">
        <v>50</v>
      </c>
      <c r="H15">
        <v>33</v>
      </c>
      <c r="I15">
        <v>2.9</v>
      </c>
      <c r="J15">
        <f>+tbl_sales[[#This Row],[Quantity_Sold]]*tbl_sales[[#This Row],[Unit_Price]]</f>
        <v>95.7</v>
      </c>
      <c r="K15">
        <v>60</v>
      </c>
      <c r="L15">
        <f>+tbl_sales[[#This Row],[Total_Sales]]-tbl_sales[[#This Row],[Production_Cost]]</f>
        <v>35.700000000000003</v>
      </c>
      <c r="M15">
        <v>150</v>
      </c>
      <c r="N15">
        <v>60</v>
      </c>
      <c r="O15" t="s">
        <v>39</v>
      </c>
      <c r="P15">
        <f>tbl_sales[[#This Row],[Profit]]/tbl_sales[[#This Row],[Total_Sales]]</f>
        <v>0.37304075235109718</v>
      </c>
    </row>
    <row r="16" spans="1:16">
      <c r="A16" s="1">
        <v>45312</v>
      </c>
      <c r="B16" t="s">
        <v>195</v>
      </c>
      <c r="C16" t="s">
        <v>177</v>
      </c>
      <c r="D16" t="s">
        <v>65</v>
      </c>
      <c r="E16" t="s">
        <v>48</v>
      </c>
      <c r="F16" t="s">
        <v>16</v>
      </c>
      <c r="G16" t="s">
        <v>55</v>
      </c>
      <c r="H16">
        <v>42</v>
      </c>
      <c r="I16">
        <v>6</v>
      </c>
      <c r="J16">
        <f>+tbl_sales[[#This Row],[Quantity_Sold]]*tbl_sales[[#This Row],[Unit_Price]]</f>
        <v>252</v>
      </c>
      <c r="K16">
        <v>155</v>
      </c>
      <c r="L16">
        <f>+tbl_sales[[#This Row],[Total_Sales]]-tbl_sales[[#This Row],[Production_Cost]]</f>
        <v>97</v>
      </c>
      <c r="M16">
        <v>28</v>
      </c>
      <c r="N16">
        <v>35</v>
      </c>
      <c r="O16" t="s">
        <v>17</v>
      </c>
      <c r="P16">
        <f>tbl_sales[[#This Row],[Profit]]/tbl_sales[[#This Row],[Total_Sales]]</f>
        <v>0.38492063492063494</v>
      </c>
    </row>
    <row r="17" spans="1:16">
      <c r="A17" s="1">
        <v>45296</v>
      </c>
      <c r="B17" t="s">
        <v>35</v>
      </c>
      <c r="C17" t="s">
        <v>178</v>
      </c>
      <c r="D17" t="s">
        <v>67</v>
      </c>
      <c r="E17" t="s">
        <v>43</v>
      </c>
      <c r="F17" t="s">
        <v>36</v>
      </c>
      <c r="G17" t="s">
        <v>40</v>
      </c>
      <c r="H17">
        <v>3</v>
      </c>
      <c r="I17">
        <v>950</v>
      </c>
      <c r="J17">
        <v>2850</v>
      </c>
      <c r="K17">
        <v>2100</v>
      </c>
      <c r="L17">
        <v>750</v>
      </c>
      <c r="M17">
        <v>18</v>
      </c>
      <c r="N17">
        <v>5</v>
      </c>
      <c r="O17" t="s">
        <v>39</v>
      </c>
      <c r="P17">
        <f>tbl_sales[[#This Row],[Profit]]/tbl_sales[[#This Row],[Total_Sales]]</f>
        <v>0.26315789473684209</v>
      </c>
    </row>
    <row r="18" spans="1:16">
      <c r="A18" s="1">
        <v>45298</v>
      </c>
      <c r="B18" t="s">
        <v>41</v>
      </c>
      <c r="C18" t="s">
        <v>176</v>
      </c>
      <c r="D18" t="s">
        <v>69</v>
      </c>
      <c r="E18" t="s">
        <v>43</v>
      </c>
      <c r="F18" t="s">
        <v>42</v>
      </c>
      <c r="G18" t="s">
        <v>45</v>
      </c>
      <c r="H18">
        <v>25</v>
      </c>
      <c r="I18">
        <v>12</v>
      </c>
      <c r="J18">
        <v>300</v>
      </c>
      <c r="K18">
        <v>175</v>
      </c>
      <c r="L18">
        <v>125</v>
      </c>
      <c r="M18">
        <v>120</v>
      </c>
      <c r="N18">
        <v>40</v>
      </c>
      <c r="O18" t="s">
        <v>39</v>
      </c>
      <c r="P18">
        <f>tbl_sales[[#This Row],[Profit]]/tbl_sales[[#This Row],[Total_Sales]]</f>
        <v>0.41666666666666669</v>
      </c>
    </row>
    <row r="19" spans="1:16">
      <c r="A19" s="1">
        <v>45300</v>
      </c>
      <c r="B19" t="s">
        <v>46</v>
      </c>
      <c r="C19" t="s">
        <v>177</v>
      </c>
      <c r="D19" t="s">
        <v>71</v>
      </c>
      <c r="E19" t="s">
        <v>48</v>
      </c>
      <c r="F19" t="s">
        <v>47</v>
      </c>
      <c r="G19" t="s">
        <v>50</v>
      </c>
      <c r="H19">
        <v>5</v>
      </c>
      <c r="I19">
        <v>180</v>
      </c>
      <c r="J19">
        <v>900</v>
      </c>
      <c r="K19">
        <v>550</v>
      </c>
      <c r="L19">
        <v>350</v>
      </c>
      <c r="M19">
        <v>8</v>
      </c>
      <c r="N19">
        <v>10</v>
      </c>
      <c r="O19" t="s">
        <v>17</v>
      </c>
      <c r="P19">
        <f>tbl_sales[[#This Row],[Profit]]/tbl_sales[[#This Row],[Total_Sales]]</f>
        <v>0.3888888888888889</v>
      </c>
    </row>
    <row r="20" spans="1:16">
      <c r="A20" s="1">
        <v>45303</v>
      </c>
      <c r="B20" t="s">
        <v>51</v>
      </c>
      <c r="C20" t="s">
        <v>178</v>
      </c>
      <c r="D20" t="s">
        <v>73</v>
      </c>
      <c r="E20" t="s">
        <v>53</v>
      </c>
      <c r="F20" t="s">
        <v>52</v>
      </c>
      <c r="G20" t="s">
        <v>55</v>
      </c>
      <c r="H20">
        <v>4</v>
      </c>
      <c r="I20">
        <v>260</v>
      </c>
      <c r="J20">
        <v>1040</v>
      </c>
      <c r="K20">
        <v>680</v>
      </c>
      <c r="L20">
        <v>360</v>
      </c>
      <c r="M20">
        <v>22</v>
      </c>
      <c r="N20">
        <v>8</v>
      </c>
      <c r="O20" t="s">
        <v>39</v>
      </c>
      <c r="P20">
        <f>tbl_sales[[#This Row],[Profit]]/tbl_sales[[#This Row],[Total_Sales]]</f>
        <v>0.34615384615384615</v>
      </c>
    </row>
    <row r="21" spans="1:16">
      <c r="A21" s="1">
        <v>45306</v>
      </c>
      <c r="B21" t="s">
        <v>56</v>
      </c>
      <c r="C21" t="s">
        <v>175</v>
      </c>
      <c r="D21" t="s">
        <v>75</v>
      </c>
      <c r="E21" t="s">
        <v>58</v>
      </c>
      <c r="F21" t="s">
        <v>57</v>
      </c>
      <c r="G21" t="s">
        <v>40</v>
      </c>
      <c r="H21">
        <v>40</v>
      </c>
      <c r="I21">
        <v>8</v>
      </c>
      <c r="J21">
        <v>320</v>
      </c>
      <c r="K21">
        <v>160</v>
      </c>
      <c r="L21">
        <v>160</v>
      </c>
      <c r="M21">
        <v>95</v>
      </c>
      <c r="N21">
        <v>30</v>
      </c>
      <c r="O21" t="s">
        <v>39</v>
      </c>
      <c r="P21">
        <f>tbl_sales[[#This Row],[Profit]]/tbl_sales[[#This Row],[Total_Sales]]</f>
        <v>0.5</v>
      </c>
    </row>
    <row r="22" spans="1:16">
      <c r="A22" s="1">
        <v>45309</v>
      </c>
      <c r="B22" t="s">
        <v>60</v>
      </c>
      <c r="C22" t="s">
        <v>176</v>
      </c>
      <c r="D22" t="s">
        <v>61</v>
      </c>
      <c r="E22" t="s">
        <v>37</v>
      </c>
      <c r="F22" t="s">
        <v>36</v>
      </c>
      <c r="G22" t="s">
        <v>45</v>
      </c>
      <c r="H22">
        <v>6</v>
      </c>
      <c r="I22">
        <v>420</v>
      </c>
      <c r="J22">
        <v>2520</v>
      </c>
      <c r="K22">
        <v>1800</v>
      </c>
      <c r="L22">
        <v>720</v>
      </c>
      <c r="M22">
        <v>16</v>
      </c>
      <c r="N22">
        <v>6</v>
      </c>
      <c r="O22" t="s">
        <v>39</v>
      </c>
      <c r="P22">
        <f>tbl_sales[[#This Row],[Profit]]/tbl_sales[[#This Row],[Total_Sales]]</f>
        <v>0.2857142857142857</v>
      </c>
    </row>
    <row r="23" spans="1:16">
      <c r="A23" s="1">
        <v>45312</v>
      </c>
      <c r="B23" t="s">
        <v>62</v>
      </c>
      <c r="C23" t="s">
        <v>177</v>
      </c>
      <c r="D23" t="s">
        <v>63</v>
      </c>
      <c r="E23" t="s">
        <v>48</v>
      </c>
      <c r="F23" t="s">
        <v>42</v>
      </c>
      <c r="G23" t="s">
        <v>50</v>
      </c>
      <c r="H23">
        <v>2</v>
      </c>
      <c r="I23">
        <v>520</v>
      </c>
      <c r="J23">
        <v>1040</v>
      </c>
      <c r="K23">
        <v>700</v>
      </c>
      <c r="L23">
        <v>340</v>
      </c>
      <c r="M23">
        <v>4</v>
      </c>
      <c r="N23">
        <v>7</v>
      </c>
      <c r="O23" t="s">
        <v>17</v>
      </c>
      <c r="P23">
        <f>tbl_sales[[#This Row],[Profit]]/tbl_sales[[#This Row],[Total_Sales]]</f>
        <v>0.32692307692307693</v>
      </c>
    </row>
    <row r="24" spans="1:16">
      <c r="A24" s="1">
        <v>45315</v>
      </c>
      <c r="B24" t="s">
        <v>64</v>
      </c>
      <c r="C24" t="s">
        <v>178</v>
      </c>
      <c r="D24" t="s">
        <v>65</v>
      </c>
      <c r="E24" t="s">
        <v>43</v>
      </c>
      <c r="F24" t="s">
        <v>47</v>
      </c>
      <c r="G24" t="s">
        <v>55</v>
      </c>
      <c r="H24">
        <v>12</v>
      </c>
      <c r="I24">
        <v>35</v>
      </c>
      <c r="J24">
        <v>420</v>
      </c>
      <c r="K24">
        <v>240</v>
      </c>
      <c r="L24">
        <v>180</v>
      </c>
      <c r="M24">
        <v>55</v>
      </c>
      <c r="N24">
        <v>20</v>
      </c>
      <c r="O24" t="s">
        <v>39</v>
      </c>
      <c r="P24">
        <f>tbl_sales[[#This Row],[Profit]]/tbl_sales[[#This Row],[Total_Sales]]</f>
        <v>0.42857142857142855</v>
      </c>
    </row>
    <row r="25" spans="1:16">
      <c r="A25" s="1">
        <v>45318</v>
      </c>
      <c r="B25" t="s">
        <v>66</v>
      </c>
      <c r="C25" t="s">
        <v>179</v>
      </c>
      <c r="D25" t="s">
        <v>67</v>
      </c>
      <c r="E25" t="s">
        <v>53</v>
      </c>
      <c r="F25" t="s">
        <v>52</v>
      </c>
      <c r="G25" t="s">
        <v>40</v>
      </c>
      <c r="H25">
        <v>15</v>
      </c>
      <c r="I25">
        <v>45</v>
      </c>
      <c r="J25">
        <v>675</v>
      </c>
      <c r="K25">
        <v>375</v>
      </c>
      <c r="L25">
        <v>300</v>
      </c>
      <c r="M25">
        <v>70</v>
      </c>
      <c r="N25">
        <v>25</v>
      </c>
      <c r="O25" t="s">
        <v>39</v>
      </c>
      <c r="P25">
        <f>tbl_sales[[#This Row],[Profit]]/tbl_sales[[#This Row],[Total_Sales]]</f>
        <v>0.44444444444444442</v>
      </c>
    </row>
    <row r="26" spans="1:16">
      <c r="A26" s="1">
        <v>45321</v>
      </c>
      <c r="B26" t="s">
        <v>68</v>
      </c>
      <c r="C26" t="s">
        <v>180</v>
      </c>
      <c r="D26" t="s">
        <v>69</v>
      </c>
      <c r="E26" t="s">
        <v>58</v>
      </c>
      <c r="F26" t="s">
        <v>57</v>
      </c>
      <c r="G26" t="s">
        <v>45</v>
      </c>
      <c r="H26">
        <v>60</v>
      </c>
      <c r="I26">
        <v>3</v>
      </c>
      <c r="J26">
        <v>180</v>
      </c>
      <c r="K26">
        <v>90</v>
      </c>
      <c r="L26">
        <v>90</v>
      </c>
      <c r="M26">
        <v>25</v>
      </c>
      <c r="N26">
        <v>35</v>
      </c>
      <c r="O26" t="s">
        <v>17</v>
      </c>
      <c r="P26">
        <f>tbl_sales[[#This Row],[Profit]]/tbl_sales[[#This Row],[Total_Sales]]</f>
        <v>0.5</v>
      </c>
    </row>
    <row r="27" spans="1:16">
      <c r="A27" s="1">
        <v>45324</v>
      </c>
      <c r="B27" t="s">
        <v>70</v>
      </c>
      <c r="C27" t="s">
        <v>171</v>
      </c>
      <c r="D27" t="s">
        <v>71</v>
      </c>
      <c r="E27" t="s">
        <v>37</v>
      </c>
      <c r="F27" t="s">
        <v>36</v>
      </c>
      <c r="G27" t="s">
        <v>50</v>
      </c>
      <c r="H27">
        <v>7</v>
      </c>
      <c r="I27">
        <v>780</v>
      </c>
      <c r="J27">
        <v>5460</v>
      </c>
      <c r="K27">
        <v>3920</v>
      </c>
      <c r="L27">
        <v>1540</v>
      </c>
      <c r="M27">
        <v>21</v>
      </c>
      <c r="N27">
        <v>7</v>
      </c>
      <c r="O27" t="s">
        <v>39</v>
      </c>
      <c r="P27">
        <f>tbl_sales[[#This Row],[Profit]]/tbl_sales[[#This Row],[Total_Sales]]</f>
        <v>0.28205128205128205</v>
      </c>
    </row>
    <row r="28" spans="1:16">
      <c r="A28" s="1">
        <v>45326</v>
      </c>
      <c r="B28" t="s">
        <v>72</v>
      </c>
      <c r="C28" t="s">
        <v>172</v>
      </c>
      <c r="D28" t="s">
        <v>73</v>
      </c>
      <c r="E28" t="s">
        <v>43</v>
      </c>
      <c r="F28" t="s">
        <v>42</v>
      </c>
      <c r="G28" t="s">
        <v>55</v>
      </c>
      <c r="H28">
        <v>30</v>
      </c>
      <c r="I28">
        <v>6</v>
      </c>
      <c r="J28">
        <v>180</v>
      </c>
      <c r="K28">
        <v>90</v>
      </c>
      <c r="L28">
        <v>90</v>
      </c>
      <c r="M28">
        <v>140</v>
      </c>
      <c r="N28">
        <v>50</v>
      </c>
      <c r="O28" t="s">
        <v>39</v>
      </c>
      <c r="P28">
        <f>tbl_sales[[#This Row],[Profit]]/tbl_sales[[#This Row],[Total_Sales]]</f>
        <v>0.5</v>
      </c>
    </row>
    <row r="29" spans="1:16">
      <c r="A29" s="1">
        <v>45328</v>
      </c>
      <c r="B29" t="s">
        <v>74</v>
      </c>
      <c r="C29" t="s">
        <v>173</v>
      </c>
      <c r="D29" t="s">
        <v>75</v>
      </c>
      <c r="E29" t="s">
        <v>48</v>
      </c>
      <c r="F29" t="s">
        <v>47</v>
      </c>
      <c r="G29" t="s">
        <v>40</v>
      </c>
      <c r="H29">
        <v>3</v>
      </c>
      <c r="I29">
        <v>340</v>
      </c>
      <c r="J29">
        <v>1020</v>
      </c>
      <c r="K29">
        <v>660</v>
      </c>
      <c r="L29">
        <v>360</v>
      </c>
      <c r="M29">
        <v>17</v>
      </c>
      <c r="N29">
        <v>6</v>
      </c>
      <c r="O29" t="s">
        <v>39</v>
      </c>
      <c r="P29">
        <f>tbl_sales[[#This Row],[Profit]]/tbl_sales[[#This Row],[Total_Sales]]</f>
        <v>0.35294117647058826</v>
      </c>
    </row>
    <row r="30" spans="1:16">
      <c r="A30" s="1">
        <v>45331</v>
      </c>
      <c r="B30" t="s">
        <v>76</v>
      </c>
      <c r="C30" t="s">
        <v>174</v>
      </c>
      <c r="D30" t="s">
        <v>77</v>
      </c>
      <c r="E30" t="s">
        <v>53</v>
      </c>
      <c r="F30" t="s">
        <v>52</v>
      </c>
      <c r="G30" t="s">
        <v>45</v>
      </c>
      <c r="H30">
        <v>20</v>
      </c>
      <c r="I30">
        <v>28</v>
      </c>
      <c r="J30">
        <v>560</v>
      </c>
      <c r="K30">
        <v>280</v>
      </c>
      <c r="L30">
        <v>280</v>
      </c>
      <c r="M30">
        <v>9</v>
      </c>
      <c r="N30">
        <v>15</v>
      </c>
      <c r="O30" t="s">
        <v>17</v>
      </c>
      <c r="P30">
        <f>tbl_sales[[#This Row],[Profit]]/tbl_sales[[#This Row],[Total_Sales]]</f>
        <v>0.5</v>
      </c>
    </row>
    <row r="31" spans="1:16">
      <c r="A31" s="1">
        <v>45334</v>
      </c>
      <c r="B31" t="s">
        <v>78</v>
      </c>
      <c r="C31" t="s">
        <v>175</v>
      </c>
      <c r="D31" t="s">
        <v>79</v>
      </c>
      <c r="E31" t="s">
        <v>58</v>
      </c>
      <c r="F31" t="s">
        <v>57</v>
      </c>
      <c r="G31" t="s">
        <v>50</v>
      </c>
      <c r="H31">
        <v>45</v>
      </c>
      <c r="I31">
        <v>5</v>
      </c>
      <c r="J31">
        <v>225</v>
      </c>
      <c r="K31">
        <v>90</v>
      </c>
      <c r="L31">
        <v>135</v>
      </c>
      <c r="M31">
        <v>200</v>
      </c>
      <c r="N31">
        <v>60</v>
      </c>
      <c r="O31" t="s">
        <v>39</v>
      </c>
      <c r="P31">
        <f>tbl_sales[[#This Row],[Profit]]/tbl_sales[[#This Row],[Total_Sales]]</f>
        <v>0.6</v>
      </c>
    </row>
    <row r="32" spans="1:16">
      <c r="A32" s="1">
        <v>45337</v>
      </c>
      <c r="B32" t="s">
        <v>80</v>
      </c>
      <c r="C32" t="s">
        <v>176</v>
      </c>
      <c r="D32" t="s">
        <v>81</v>
      </c>
      <c r="E32" t="s">
        <v>37</v>
      </c>
      <c r="F32" t="s">
        <v>36</v>
      </c>
      <c r="G32" t="s">
        <v>55</v>
      </c>
      <c r="H32">
        <v>10</v>
      </c>
      <c r="I32">
        <v>85</v>
      </c>
      <c r="J32">
        <v>850</v>
      </c>
      <c r="K32">
        <v>450</v>
      </c>
      <c r="L32">
        <v>400</v>
      </c>
      <c r="M32">
        <v>34</v>
      </c>
      <c r="N32">
        <v>10</v>
      </c>
      <c r="O32" t="s">
        <v>39</v>
      </c>
      <c r="P32">
        <f>tbl_sales[[#This Row],[Profit]]/tbl_sales[[#This Row],[Total_Sales]]</f>
        <v>0.47058823529411764</v>
      </c>
    </row>
    <row r="33" spans="1:16">
      <c r="A33" s="1">
        <v>45340</v>
      </c>
      <c r="B33" t="s">
        <v>82</v>
      </c>
      <c r="C33" t="s">
        <v>177</v>
      </c>
      <c r="D33" t="s">
        <v>83</v>
      </c>
      <c r="E33" t="s">
        <v>48</v>
      </c>
      <c r="F33" t="s">
        <v>42</v>
      </c>
      <c r="G33" t="s">
        <v>40</v>
      </c>
      <c r="H33">
        <v>4</v>
      </c>
      <c r="I33">
        <v>210</v>
      </c>
      <c r="J33">
        <v>840</v>
      </c>
      <c r="K33">
        <v>520</v>
      </c>
      <c r="L33">
        <v>320</v>
      </c>
      <c r="M33">
        <v>6</v>
      </c>
      <c r="N33">
        <v>8</v>
      </c>
      <c r="O33" t="s">
        <v>17</v>
      </c>
      <c r="P33">
        <f>tbl_sales[[#This Row],[Profit]]/tbl_sales[[#This Row],[Total_Sales]]</f>
        <v>0.38095238095238093</v>
      </c>
    </row>
    <row r="34" spans="1:16">
      <c r="A34" s="1">
        <v>45343</v>
      </c>
      <c r="B34" t="s">
        <v>84</v>
      </c>
      <c r="C34" t="s">
        <v>178</v>
      </c>
      <c r="D34" t="s">
        <v>85</v>
      </c>
      <c r="E34" t="s">
        <v>43</v>
      </c>
      <c r="F34" t="s">
        <v>47</v>
      </c>
      <c r="G34" t="s">
        <v>45</v>
      </c>
      <c r="H34">
        <v>18</v>
      </c>
      <c r="I34">
        <v>14</v>
      </c>
      <c r="J34">
        <v>252</v>
      </c>
      <c r="K34">
        <v>108</v>
      </c>
      <c r="L34">
        <v>144</v>
      </c>
      <c r="M34">
        <v>80</v>
      </c>
      <c r="N34">
        <v>25</v>
      </c>
      <c r="O34" t="s">
        <v>39</v>
      </c>
      <c r="P34">
        <f>tbl_sales[[#This Row],[Profit]]/tbl_sales[[#This Row],[Total_Sales]]</f>
        <v>0.5714285714285714</v>
      </c>
    </row>
    <row r="35" spans="1:16">
      <c r="A35" s="1">
        <v>45346</v>
      </c>
      <c r="B35" t="s">
        <v>86</v>
      </c>
      <c r="C35" t="s">
        <v>179</v>
      </c>
      <c r="D35" t="s">
        <v>87</v>
      </c>
      <c r="E35" t="s">
        <v>53</v>
      </c>
      <c r="F35" t="s">
        <v>52</v>
      </c>
      <c r="G35" t="s">
        <v>50</v>
      </c>
      <c r="H35">
        <v>9</v>
      </c>
      <c r="I35">
        <v>95</v>
      </c>
      <c r="J35">
        <v>855</v>
      </c>
      <c r="K35">
        <v>495</v>
      </c>
      <c r="L35">
        <v>360</v>
      </c>
      <c r="M35">
        <v>26</v>
      </c>
      <c r="N35">
        <v>8</v>
      </c>
      <c r="O35" t="s">
        <v>39</v>
      </c>
      <c r="P35">
        <f>tbl_sales[[#This Row],[Profit]]/tbl_sales[[#This Row],[Total_Sales]]</f>
        <v>0.42105263157894735</v>
      </c>
    </row>
    <row r="36" spans="1:16">
      <c r="A36" s="1">
        <v>45349</v>
      </c>
      <c r="B36" t="s">
        <v>88</v>
      </c>
      <c r="C36" t="s">
        <v>180</v>
      </c>
      <c r="D36" t="s">
        <v>89</v>
      </c>
      <c r="E36" t="s">
        <v>58</v>
      </c>
      <c r="F36" t="s">
        <v>57</v>
      </c>
      <c r="G36" t="s">
        <v>55</v>
      </c>
      <c r="H36">
        <v>35</v>
      </c>
      <c r="I36">
        <v>7</v>
      </c>
      <c r="J36">
        <v>245</v>
      </c>
      <c r="K36">
        <v>105</v>
      </c>
      <c r="L36">
        <v>140</v>
      </c>
      <c r="M36">
        <v>110</v>
      </c>
      <c r="N36">
        <v>35</v>
      </c>
      <c r="O36" t="s">
        <v>39</v>
      </c>
      <c r="P36">
        <f>tbl_sales[[#This Row],[Profit]]/tbl_sales[[#This Row],[Total_Sales]]</f>
        <v>0.5714285714285714</v>
      </c>
    </row>
    <row r="37" spans="1:16">
      <c r="A37" s="1">
        <v>45352</v>
      </c>
      <c r="B37" t="s">
        <v>90</v>
      </c>
      <c r="C37" t="s">
        <v>171</v>
      </c>
      <c r="D37" t="s">
        <v>38</v>
      </c>
      <c r="E37" t="s">
        <v>37</v>
      </c>
      <c r="F37" t="s">
        <v>36</v>
      </c>
      <c r="G37" t="s">
        <v>40</v>
      </c>
      <c r="H37">
        <v>2</v>
      </c>
      <c r="I37">
        <v>980</v>
      </c>
      <c r="J37">
        <v>1960</v>
      </c>
      <c r="K37">
        <v>1440</v>
      </c>
      <c r="L37">
        <v>520</v>
      </c>
      <c r="M37">
        <v>5</v>
      </c>
      <c r="N37">
        <v>6</v>
      </c>
      <c r="O37" t="s">
        <v>17</v>
      </c>
      <c r="P37">
        <f>tbl_sales[[#This Row],[Profit]]/tbl_sales[[#This Row],[Total_Sales]]</f>
        <v>0.26530612244897961</v>
      </c>
    </row>
    <row r="38" spans="1:16">
      <c r="A38" s="1">
        <v>45354</v>
      </c>
      <c r="B38" t="s">
        <v>91</v>
      </c>
      <c r="C38" t="s">
        <v>172</v>
      </c>
      <c r="D38" t="s">
        <v>44</v>
      </c>
      <c r="E38" t="s">
        <v>43</v>
      </c>
      <c r="F38" t="s">
        <v>42</v>
      </c>
      <c r="G38" t="s">
        <v>45</v>
      </c>
      <c r="H38">
        <v>40</v>
      </c>
      <c r="I38">
        <v>11</v>
      </c>
      <c r="J38">
        <v>440</v>
      </c>
      <c r="K38">
        <v>240</v>
      </c>
      <c r="L38">
        <v>200</v>
      </c>
      <c r="M38">
        <v>160</v>
      </c>
      <c r="N38">
        <v>40</v>
      </c>
      <c r="O38" t="s">
        <v>39</v>
      </c>
      <c r="P38">
        <f>tbl_sales[[#This Row],[Profit]]/tbl_sales[[#This Row],[Total_Sales]]</f>
        <v>0.45454545454545453</v>
      </c>
    </row>
    <row r="39" spans="1:16">
      <c r="A39" s="1">
        <v>45357</v>
      </c>
      <c r="B39" t="s">
        <v>92</v>
      </c>
      <c r="C39" t="s">
        <v>173</v>
      </c>
      <c r="D39" t="s">
        <v>49</v>
      </c>
      <c r="E39" t="s">
        <v>48</v>
      </c>
      <c r="F39" t="s">
        <v>47</v>
      </c>
      <c r="G39" t="s">
        <v>50</v>
      </c>
      <c r="H39">
        <v>6</v>
      </c>
      <c r="I39">
        <v>175</v>
      </c>
      <c r="J39">
        <v>1050</v>
      </c>
      <c r="K39">
        <v>630</v>
      </c>
      <c r="L39">
        <v>420</v>
      </c>
      <c r="M39">
        <v>15</v>
      </c>
      <c r="N39">
        <v>10</v>
      </c>
      <c r="O39" t="s">
        <v>39</v>
      </c>
      <c r="P39">
        <f>tbl_sales[[#This Row],[Profit]]/tbl_sales[[#This Row],[Total_Sales]]</f>
        <v>0.4</v>
      </c>
    </row>
    <row r="40" spans="1:16">
      <c r="A40" s="1">
        <v>45360</v>
      </c>
      <c r="B40" t="s">
        <v>93</v>
      </c>
      <c r="C40" t="s">
        <v>174</v>
      </c>
      <c r="D40" t="s">
        <v>54</v>
      </c>
      <c r="E40" t="s">
        <v>53</v>
      </c>
      <c r="F40" t="s">
        <v>52</v>
      </c>
      <c r="G40" t="s">
        <v>55</v>
      </c>
      <c r="H40">
        <v>5</v>
      </c>
      <c r="I40">
        <v>255</v>
      </c>
      <c r="J40">
        <v>1275</v>
      </c>
      <c r="K40">
        <v>825</v>
      </c>
      <c r="L40">
        <v>450</v>
      </c>
      <c r="M40">
        <v>24</v>
      </c>
      <c r="N40">
        <v>8</v>
      </c>
      <c r="O40" t="s">
        <v>39</v>
      </c>
      <c r="P40">
        <f>tbl_sales[[#This Row],[Profit]]/tbl_sales[[#This Row],[Total_Sales]]</f>
        <v>0.35294117647058826</v>
      </c>
    </row>
    <row r="41" spans="1:16">
      <c r="A41" s="1">
        <v>45363</v>
      </c>
      <c r="B41" t="s">
        <v>94</v>
      </c>
      <c r="C41" t="s">
        <v>175</v>
      </c>
      <c r="D41" t="s">
        <v>95</v>
      </c>
      <c r="E41" t="s">
        <v>58</v>
      </c>
      <c r="F41" t="s">
        <v>57</v>
      </c>
      <c r="G41" t="s">
        <v>40</v>
      </c>
      <c r="H41">
        <v>28</v>
      </c>
      <c r="I41">
        <v>12</v>
      </c>
      <c r="J41">
        <v>336</v>
      </c>
      <c r="K41">
        <v>168</v>
      </c>
      <c r="L41">
        <v>168</v>
      </c>
      <c r="M41">
        <v>12</v>
      </c>
      <c r="N41">
        <v>20</v>
      </c>
      <c r="O41" t="s">
        <v>17</v>
      </c>
      <c r="P41">
        <f>tbl_sales[[#This Row],[Profit]]/tbl_sales[[#This Row],[Total_Sales]]</f>
        <v>0.5</v>
      </c>
    </row>
    <row r="42" spans="1:16">
      <c r="A42" s="1">
        <v>45366</v>
      </c>
      <c r="B42" t="s">
        <v>96</v>
      </c>
      <c r="C42" t="s">
        <v>176</v>
      </c>
      <c r="D42" t="s">
        <v>61</v>
      </c>
      <c r="E42" t="s">
        <v>37</v>
      </c>
      <c r="F42" t="s">
        <v>36</v>
      </c>
      <c r="G42" t="s">
        <v>45</v>
      </c>
      <c r="H42">
        <v>4</v>
      </c>
      <c r="I42">
        <v>430</v>
      </c>
      <c r="J42">
        <v>1720</v>
      </c>
      <c r="K42">
        <v>1240</v>
      </c>
      <c r="L42">
        <v>480</v>
      </c>
      <c r="M42">
        <v>19</v>
      </c>
      <c r="N42">
        <v>6</v>
      </c>
      <c r="O42" t="s">
        <v>39</v>
      </c>
      <c r="P42">
        <f>tbl_sales[[#This Row],[Profit]]/tbl_sales[[#This Row],[Total_Sales]]</f>
        <v>0.27906976744186046</v>
      </c>
    </row>
    <row r="43" spans="1:16">
      <c r="A43" s="1">
        <v>45369</v>
      </c>
      <c r="B43" t="s">
        <v>97</v>
      </c>
      <c r="C43" t="s">
        <v>177</v>
      </c>
      <c r="D43" t="s">
        <v>63</v>
      </c>
      <c r="E43" t="s">
        <v>48</v>
      </c>
      <c r="F43" t="s">
        <v>42</v>
      </c>
      <c r="G43" t="s">
        <v>50</v>
      </c>
      <c r="H43">
        <v>3</v>
      </c>
      <c r="I43">
        <v>515</v>
      </c>
      <c r="J43">
        <v>1545</v>
      </c>
      <c r="K43">
        <v>1035</v>
      </c>
      <c r="L43">
        <v>510</v>
      </c>
      <c r="M43">
        <v>10</v>
      </c>
      <c r="N43">
        <v>7</v>
      </c>
      <c r="O43" t="s">
        <v>39</v>
      </c>
      <c r="P43">
        <f>tbl_sales[[#This Row],[Profit]]/tbl_sales[[#This Row],[Total_Sales]]</f>
        <v>0.3300970873786408</v>
      </c>
    </row>
    <row r="44" spans="1:16">
      <c r="A44" s="1">
        <v>45372</v>
      </c>
      <c r="B44" t="s">
        <v>98</v>
      </c>
      <c r="C44" t="s">
        <v>178</v>
      </c>
      <c r="D44" t="s">
        <v>65</v>
      </c>
      <c r="E44" t="s">
        <v>43</v>
      </c>
      <c r="F44" t="s">
        <v>47</v>
      </c>
      <c r="G44" t="s">
        <v>55</v>
      </c>
      <c r="H44">
        <v>15</v>
      </c>
      <c r="I44">
        <v>36</v>
      </c>
      <c r="J44">
        <v>540</v>
      </c>
      <c r="K44">
        <v>315</v>
      </c>
      <c r="L44">
        <v>225</v>
      </c>
      <c r="M44">
        <v>18</v>
      </c>
      <c r="N44">
        <v>20</v>
      </c>
      <c r="O44" t="s">
        <v>17</v>
      </c>
      <c r="P44">
        <f>tbl_sales[[#This Row],[Profit]]/tbl_sales[[#This Row],[Total_Sales]]</f>
        <v>0.41666666666666669</v>
      </c>
    </row>
    <row r="45" spans="1:16">
      <c r="A45" s="1">
        <v>45375</v>
      </c>
      <c r="B45" t="s">
        <v>99</v>
      </c>
      <c r="C45" t="s">
        <v>179</v>
      </c>
      <c r="D45" t="s">
        <v>67</v>
      </c>
      <c r="E45" t="s">
        <v>53</v>
      </c>
      <c r="F45" t="s">
        <v>52</v>
      </c>
      <c r="G45" t="s">
        <v>40</v>
      </c>
      <c r="H45">
        <v>22</v>
      </c>
      <c r="I45">
        <v>42</v>
      </c>
      <c r="J45">
        <v>924</v>
      </c>
      <c r="K45">
        <v>528</v>
      </c>
      <c r="L45">
        <v>396</v>
      </c>
      <c r="M45">
        <v>85</v>
      </c>
      <c r="N45">
        <v>25</v>
      </c>
      <c r="O45" t="s">
        <v>39</v>
      </c>
      <c r="P45">
        <f>tbl_sales[[#This Row],[Profit]]/tbl_sales[[#This Row],[Total_Sales]]</f>
        <v>0.42857142857142855</v>
      </c>
    </row>
    <row r="46" spans="1:16">
      <c r="A46" s="1">
        <v>45378</v>
      </c>
      <c r="B46" t="s">
        <v>100</v>
      </c>
      <c r="C46" t="s">
        <v>180</v>
      </c>
      <c r="D46" t="s">
        <v>69</v>
      </c>
      <c r="E46" t="s">
        <v>58</v>
      </c>
      <c r="F46" t="s">
        <v>57</v>
      </c>
      <c r="G46" t="s">
        <v>45</v>
      </c>
      <c r="H46">
        <v>80</v>
      </c>
      <c r="I46">
        <v>3.2</v>
      </c>
      <c r="J46">
        <v>256</v>
      </c>
      <c r="K46">
        <v>128</v>
      </c>
      <c r="L46">
        <v>128</v>
      </c>
      <c r="M46">
        <v>140</v>
      </c>
      <c r="N46">
        <v>35</v>
      </c>
      <c r="O46" t="s">
        <v>39</v>
      </c>
      <c r="P46">
        <f>tbl_sales[[#This Row],[Profit]]/tbl_sales[[#This Row],[Total_Sales]]</f>
        <v>0.5</v>
      </c>
    </row>
    <row r="47" spans="1:16">
      <c r="A47" s="1">
        <v>45384</v>
      </c>
      <c r="B47" t="s">
        <v>101</v>
      </c>
      <c r="C47" t="s">
        <v>171</v>
      </c>
      <c r="D47" t="s">
        <v>71</v>
      </c>
      <c r="E47" t="s">
        <v>37</v>
      </c>
      <c r="F47" t="s">
        <v>36</v>
      </c>
      <c r="G47" t="s">
        <v>50</v>
      </c>
      <c r="H47">
        <v>5</v>
      </c>
      <c r="I47">
        <v>790</v>
      </c>
      <c r="J47">
        <v>3950</v>
      </c>
      <c r="K47">
        <v>2850</v>
      </c>
      <c r="L47">
        <v>1100</v>
      </c>
      <c r="M47">
        <v>15</v>
      </c>
      <c r="N47">
        <v>7</v>
      </c>
      <c r="O47" t="s">
        <v>39</v>
      </c>
      <c r="P47">
        <f>tbl_sales[[#This Row],[Profit]]/tbl_sales[[#This Row],[Total_Sales]]</f>
        <v>0.27848101265822783</v>
      </c>
    </row>
    <row r="48" spans="1:16">
      <c r="A48" s="1">
        <v>45386</v>
      </c>
      <c r="B48" t="s">
        <v>102</v>
      </c>
      <c r="C48" t="s">
        <v>172</v>
      </c>
      <c r="D48" t="s">
        <v>73</v>
      </c>
      <c r="E48" t="s">
        <v>43</v>
      </c>
      <c r="F48" t="s">
        <v>42</v>
      </c>
      <c r="G48" t="s">
        <v>55</v>
      </c>
      <c r="H48">
        <v>50</v>
      </c>
      <c r="I48">
        <v>5.5</v>
      </c>
      <c r="J48">
        <v>275</v>
      </c>
      <c r="K48">
        <v>140</v>
      </c>
      <c r="L48">
        <v>135</v>
      </c>
      <c r="M48">
        <v>180</v>
      </c>
      <c r="N48">
        <v>50</v>
      </c>
      <c r="O48" t="s">
        <v>39</v>
      </c>
      <c r="P48">
        <f>tbl_sales[[#This Row],[Profit]]/tbl_sales[[#This Row],[Total_Sales]]</f>
        <v>0.49090909090909091</v>
      </c>
    </row>
    <row r="49" spans="1:16">
      <c r="A49" s="1">
        <v>45389</v>
      </c>
      <c r="B49" t="s">
        <v>103</v>
      </c>
      <c r="C49" t="s">
        <v>173</v>
      </c>
      <c r="D49" t="s">
        <v>75</v>
      </c>
      <c r="E49" t="s">
        <v>48</v>
      </c>
      <c r="F49" t="s">
        <v>47</v>
      </c>
      <c r="G49" t="s">
        <v>40</v>
      </c>
      <c r="H49">
        <v>4</v>
      </c>
      <c r="I49">
        <v>350</v>
      </c>
      <c r="J49">
        <v>1400</v>
      </c>
      <c r="K49">
        <v>920</v>
      </c>
      <c r="L49">
        <v>480</v>
      </c>
      <c r="M49">
        <v>5</v>
      </c>
      <c r="N49">
        <v>6</v>
      </c>
      <c r="O49" t="s">
        <v>17</v>
      </c>
      <c r="P49">
        <f>tbl_sales[[#This Row],[Profit]]/tbl_sales[[#This Row],[Total_Sales]]</f>
        <v>0.34285714285714286</v>
      </c>
    </row>
    <row r="50" spans="1:16">
      <c r="A50" s="1">
        <v>45392</v>
      </c>
      <c r="B50" t="s">
        <v>104</v>
      </c>
      <c r="C50" t="s">
        <v>174</v>
      </c>
      <c r="D50" t="s">
        <v>77</v>
      </c>
      <c r="E50" t="s">
        <v>53</v>
      </c>
      <c r="F50" t="s">
        <v>52</v>
      </c>
      <c r="G50" t="s">
        <v>45</v>
      </c>
      <c r="H50">
        <v>30</v>
      </c>
      <c r="I50">
        <v>27</v>
      </c>
      <c r="J50">
        <v>810</v>
      </c>
      <c r="K50">
        <v>390</v>
      </c>
      <c r="L50">
        <v>420</v>
      </c>
      <c r="M50">
        <v>45</v>
      </c>
      <c r="N50">
        <v>15</v>
      </c>
      <c r="O50" t="s">
        <v>39</v>
      </c>
      <c r="P50">
        <f>tbl_sales[[#This Row],[Profit]]/tbl_sales[[#This Row],[Total_Sales]]</f>
        <v>0.51851851851851849</v>
      </c>
    </row>
    <row r="51" spans="1:16">
      <c r="A51" s="1">
        <v>45395</v>
      </c>
      <c r="B51" t="s">
        <v>105</v>
      </c>
      <c r="C51" t="s">
        <v>175</v>
      </c>
      <c r="D51" t="s">
        <v>79</v>
      </c>
      <c r="E51" t="s">
        <v>58</v>
      </c>
      <c r="F51" t="s">
        <v>57</v>
      </c>
      <c r="G51" t="s">
        <v>50</v>
      </c>
      <c r="H51">
        <v>70</v>
      </c>
      <c r="I51">
        <v>4.8</v>
      </c>
      <c r="J51">
        <v>336</v>
      </c>
      <c r="K51">
        <v>147</v>
      </c>
      <c r="L51">
        <v>189</v>
      </c>
      <c r="M51">
        <v>170</v>
      </c>
      <c r="N51">
        <v>60</v>
      </c>
      <c r="O51" t="s">
        <v>39</v>
      </c>
      <c r="P51">
        <f>tbl_sales[[#This Row],[Profit]]/tbl_sales[[#This Row],[Total_Sales]]</f>
        <v>0.5625</v>
      </c>
    </row>
    <row r="52" spans="1:16">
      <c r="A52" s="1">
        <v>45398</v>
      </c>
      <c r="B52" t="s">
        <v>106</v>
      </c>
      <c r="C52" t="s">
        <v>176</v>
      </c>
      <c r="D52" t="s">
        <v>81</v>
      </c>
      <c r="E52" t="s">
        <v>37</v>
      </c>
      <c r="F52" t="s">
        <v>36</v>
      </c>
      <c r="G52" t="s">
        <v>55</v>
      </c>
      <c r="H52">
        <v>14</v>
      </c>
      <c r="I52">
        <v>88</v>
      </c>
      <c r="J52">
        <v>1232</v>
      </c>
      <c r="K52">
        <v>672</v>
      </c>
      <c r="L52">
        <v>560</v>
      </c>
      <c r="M52">
        <v>8</v>
      </c>
      <c r="N52">
        <v>10</v>
      </c>
      <c r="O52" t="s">
        <v>17</v>
      </c>
      <c r="P52">
        <f>tbl_sales[[#This Row],[Profit]]/tbl_sales[[#This Row],[Total_Sales]]</f>
        <v>0.45454545454545453</v>
      </c>
    </row>
    <row r="53" spans="1:16">
      <c r="A53" s="1">
        <v>45401</v>
      </c>
      <c r="B53" t="s">
        <v>107</v>
      </c>
      <c r="C53" t="s">
        <v>177</v>
      </c>
      <c r="D53" t="s">
        <v>83</v>
      </c>
      <c r="E53" t="s">
        <v>48</v>
      </c>
      <c r="F53" t="s">
        <v>42</v>
      </c>
      <c r="G53" t="s">
        <v>40</v>
      </c>
      <c r="H53">
        <v>5</v>
      </c>
      <c r="I53">
        <v>215</v>
      </c>
      <c r="J53">
        <v>1075</v>
      </c>
      <c r="K53">
        <v>675</v>
      </c>
      <c r="L53">
        <v>400</v>
      </c>
      <c r="M53">
        <v>18</v>
      </c>
      <c r="N53">
        <v>8</v>
      </c>
      <c r="O53" t="s">
        <v>39</v>
      </c>
      <c r="P53">
        <f>tbl_sales[[#This Row],[Profit]]/tbl_sales[[#This Row],[Total_Sales]]</f>
        <v>0.37209302325581395</v>
      </c>
    </row>
    <row r="54" spans="1:16">
      <c r="A54" s="1">
        <v>45404</v>
      </c>
      <c r="B54" t="s">
        <v>108</v>
      </c>
      <c r="C54" t="s">
        <v>178</v>
      </c>
      <c r="D54" t="s">
        <v>85</v>
      </c>
      <c r="E54" t="s">
        <v>43</v>
      </c>
      <c r="F54" t="s">
        <v>47</v>
      </c>
      <c r="G54" t="s">
        <v>45</v>
      </c>
      <c r="H54">
        <v>25</v>
      </c>
      <c r="I54">
        <v>13</v>
      </c>
      <c r="J54">
        <v>325</v>
      </c>
      <c r="K54">
        <v>150</v>
      </c>
      <c r="L54">
        <v>175</v>
      </c>
      <c r="M54">
        <v>90</v>
      </c>
      <c r="N54">
        <v>25</v>
      </c>
      <c r="O54" t="s">
        <v>39</v>
      </c>
      <c r="P54">
        <f>tbl_sales[[#This Row],[Profit]]/tbl_sales[[#This Row],[Total_Sales]]</f>
        <v>0.53846153846153844</v>
      </c>
    </row>
    <row r="55" spans="1:16">
      <c r="A55" s="1">
        <v>45407</v>
      </c>
      <c r="B55" t="s">
        <v>109</v>
      </c>
      <c r="C55" t="s">
        <v>179</v>
      </c>
      <c r="D55" t="s">
        <v>87</v>
      </c>
      <c r="E55" t="s">
        <v>53</v>
      </c>
      <c r="F55" t="s">
        <v>52</v>
      </c>
      <c r="G55" t="s">
        <v>50</v>
      </c>
      <c r="H55">
        <v>11</v>
      </c>
      <c r="I55">
        <v>98</v>
      </c>
      <c r="J55">
        <v>1078</v>
      </c>
      <c r="K55">
        <v>638</v>
      </c>
      <c r="L55">
        <v>440</v>
      </c>
      <c r="M55">
        <v>30</v>
      </c>
      <c r="N55">
        <v>8</v>
      </c>
      <c r="O55" t="s">
        <v>39</v>
      </c>
      <c r="P55">
        <f>tbl_sales[[#This Row],[Profit]]/tbl_sales[[#This Row],[Total_Sales]]</f>
        <v>0.40816326530612246</v>
      </c>
    </row>
    <row r="56" spans="1:16">
      <c r="A56" s="1">
        <v>45410</v>
      </c>
      <c r="B56" t="s">
        <v>110</v>
      </c>
      <c r="C56" t="s">
        <v>180</v>
      </c>
      <c r="D56" t="s">
        <v>89</v>
      </c>
      <c r="E56" t="s">
        <v>58</v>
      </c>
      <c r="F56" t="s">
        <v>57</v>
      </c>
      <c r="G56" t="s">
        <v>55</v>
      </c>
      <c r="H56">
        <v>42</v>
      </c>
      <c r="I56">
        <v>7.5</v>
      </c>
      <c r="J56">
        <v>315</v>
      </c>
      <c r="K56">
        <v>134.4</v>
      </c>
      <c r="L56">
        <v>180.6</v>
      </c>
      <c r="M56">
        <v>20</v>
      </c>
      <c r="N56">
        <v>35</v>
      </c>
      <c r="O56" t="s">
        <v>17</v>
      </c>
      <c r="P56">
        <f>tbl_sales[[#This Row],[Profit]]/tbl_sales[[#This Row],[Total_Sales]]</f>
        <v>0.57333333333333336</v>
      </c>
    </row>
    <row r="57" spans="1:16">
      <c r="A57" s="1">
        <v>45413</v>
      </c>
      <c r="B57" t="s">
        <v>111</v>
      </c>
      <c r="C57" t="s">
        <v>171</v>
      </c>
      <c r="D57" t="s">
        <v>38</v>
      </c>
      <c r="E57" t="s">
        <v>37</v>
      </c>
      <c r="F57" t="s">
        <v>36</v>
      </c>
      <c r="G57" t="s">
        <v>40</v>
      </c>
      <c r="H57">
        <v>4</v>
      </c>
      <c r="I57">
        <v>970</v>
      </c>
      <c r="J57">
        <v>3880</v>
      </c>
      <c r="K57">
        <v>2840</v>
      </c>
      <c r="L57">
        <v>1040</v>
      </c>
      <c r="M57">
        <v>20</v>
      </c>
      <c r="N57">
        <v>5</v>
      </c>
      <c r="O57" t="s">
        <v>39</v>
      </c>
      <c r="P57">
        <f>tbl_sales[[#This Row],[Profit]]/tbl_sales[[#This Row],[Total_Sales]]</f>
        <v>0.26804123711340205</v>
      </c>
    </row>
    <row r="58" spans="1:16">
      <c r="A58" s="1">
        <v>45416</v>
      </c>
      <c r="B58" t="s">
        <v>112</v>
      </c>
      <c r="C58" t="s">
        <v>172</v>
      </c>
      <c r="D58" t="s">
        <v>44</v>
      </c>
      <c r="E58" t="s">
        <v>43</v>
      </c>
      <c r="F58" t="s">
        <v>42</v>
      </c>
      <c r="G58" t="s">
        <v>45</v>
      </c>
      <c r="H58">
        <v>55</v>
      </c>
      <c r="I58">
        <v>12</v>
      </c>
      <c r="J58">
        <v>660</v>
      </c>
      <c r="K58">
        <v>385</v>
      </c>
      <c r="L58">
        <v>275</v>
      </c>
      <c r="M58">
        <v>130</v>
      </c>
      <c r="N58">
        <v>40</v>
      </c>
      <c r="O58" t="s">
        <v>39</v>
      </c>
      <c r="P58">
        <f>tbl_sales[[#This Row],[Profit]]/tbl_sales[[#This Row],[Total_Sales]]</f>
        <v>0.41666666666666669</v>
      </c>
    </row>
    <row r="59" spans="1:16">
      <c r="A59" s="1">
        <v>45419</v>
      </c>
      <c r="B59" t="s">
        <v>113</v>
      </c>
      <c r="C59" t="s">
        <v>173</v>
      </c>
      <c r="D59" t="s">
        <v>49</v>
      </c>
      <c r="E59" t="s">
        <v>48</v>
      </c>
      <c r="F59" t="s">
        <v>47</v>
      </c>
      <c r="G59" t="s">
        <v>50</v>
      </c>
      <c r="H59">
        <v>7</v>
      </c>
      <c r="I59">
        <v>185</v>
      </c>
      <c r="J59">
        <v>1295</v>
      </c>
      <c r="K59">
        <v>805</v>
      </c>
      <c r="L59">
        <v>490</v>
      </c>
      <c r="M59">
        <v>7</v>
      </c>
      <c r="N59">
        <v>10</v>
      </c>
      <c r="O59" t="s">
        <v>17</v>
      </c>
      <c r="P59">
        <f>tbl_sales[[#This Row],[Profit]]/tbl_sales[[#This Row],[Total_Sales]]</f>
        <v>0.3783783783783784</v>
      </c>
    </row>
    <row r="60" spans="1:16">
      <c r="A60" s="1">
        <v>45422</v>
      </c>
      <c r="B60" t="s">
        <v>114</v>
      </c>
      <c r="C60" t="s">
        <v>174</v>
      </c>
      <c r="D60" t="s">
        <v>54</v>
      </c>
      <c r="E60" t="s">
        <v>53</v>
      </c>
      <c r="F60" t="s">
        <v>52</v>
      </c>
      <c r="G60" t="s">
        <v>55</v>
      </c>
      <c r="H60">
        <v>6</v>
      </c>
      <c r="I60">
        <v>265</v>
      </c>
      <c r="J60">
        <v>1590</v>
      </c>
      <c r="K60">
        <v>1050</v>
      </c>
      <c r="L60">
        <v>540</v>
      </c>
      <c r="M60">
        <v>28</v>
      </c>
      <c r="N60">
        <v>8</v>
      </c>
      <c r="O60" t="s">
        <v>39</v>
      </c>
      <c r="P60">
        <f>tbl_sales[[#This Row],[Profit]]/tbl_sales[[#This Row],[Total_Sales]]</f>
        <v>0.33962264150943394</v>
      </c>
    </row>
    <row r="61" spans="1:16">
      <c r="A61" s="1">
        <v>45425</v>
      </c>
      <c r="B61" t="s">
        <v>115</v>
      </c>
      <c r="C61" t="s">
        <v>175</v>
      </c>
      <c r="D61" t="s">
        <v>59</v>
      </c>
      <c r="E61" t="s">
        <v>58</v>
      </c>
      <c r="F61" t="s">
        <v>57</v>
      </c>
      <c r="G61" t="s">
        <v>40</v>
      </c>
      <c r="H61">
        <v>65</v>
      </c>
      <c r="I61">
        <v>8.5</v>
      </c>
      <c r="J61">
        <v>552.5</v>
      </c>
      <c r="K61">
        <v>273</v>
      </c>
      <c r="L61">
        <v>279.5</v>
      </c>
      <c r="M61">
        <v>105</v>
      </c>
      <c r="N61">
        <v>30</v>
      </c>
      <c r="O61" t="s">
        <v>39</v>
      </c>
      <c r="P61">
        <f>tbl_sales[[#This Row],[Profit]]/tbl_sales[[#This Row],[Total_Sales]]</f>
        <v>0.50588235294117645</v>
      </c>
    </row>
    <row r="62" spans="1:16">
      <c r="A62" s="1">
        <v>45428</v>
      </c>
      <c r="B62" t="s">
        <v>116</v>
      </c>
      <c r="C62" t="s">
        <v>176</v>
      </c>
      <c r="D62" t="s">
        <v>61</v>
      </c>
      <c r="E62" t="s">
        <v>37</v>
      </c>
      <c r="F62" t="s">
        <v>36</v>
      </c>
      <c r="G62" t="s">
        <v>45</v>
      </c>
      <c r="H62">
        <v>8</v>
      </c>
      <c r="I62">
        <v>425</v>
      </c>
      <c r="J62">
        <v>3400</v>
      </c>
      <c r="K62">
        <v>2440</v>
      </c>
      <c r="L62">
        <v>960</v>
      </c>
      <c r="M62">
        <v>14</v>
      </c>
      <c r="N62">
        <v>6</v>
      </c>
      <c r="O62" t="s">
        <v>39</v>
      </c>
      <c r="P62">
        <f>tbl_sales[[#This Row],[Profit]]/tbl_sales[[#This Row],[Total_Sales]]</f>
        <v>0.28235294117647058</v>
      </c>
    </row>
    <row r="63" spans="1:16">
      <c r="A63" s="1">
        <v>45431</v>
      </c>
      <c r="B63" t="s">
        <v>117</v>
      </c>
      <c r="C63" t="s">
        <v>177</v>
      </c>
      <c r="D63" t="s">
        <v>63</v>
      </c>
      <c r="E63" t="s">
        <v>48</v>
      </c>
      <c r="F63" t="s">
        <v>42</v>
      </c>
      <c r="G63" t="s">
        <v>50</v>
      </c>
      <c r="H63">
        <v>4</v>
      </c>
      <c r="I63">
        <v>525</v>
      </c>
      <c r="J63">
        <v>2100</v>
      </c>
      <c r="K63">
        <v>1420</v>
      </c>
      <c r="L63">
        <v>680</v>
      </c>
      <c r="M63">
        <v>6</v>
      </c>
      <c r="N63">
        <v>7</v>
      </c>
      <c r="O63" t="s">
        <v>17</v>
      </c>
      <c r="P63">
        <f>tbl_sales[[#This Row],[Profit]]/tbl_sales[[#This Row],[Total_Sales]]</f>
        <v>0.32380952380952382</v>
      </c>
    </row>
    <row r="64" spans="1:16">
      <c r="A64" s="1">
        <v>45434</v>
      </c>
      <c r="B64" t="s">
        <v>118</v>
      </c>
      <c r="C64" t="s">
        <v>178</v>
      </c>
      <c r="D64" t="s">
        <v>65</v>
      </c>
      <c r="E64" t="s">
        <v>43</v>
      </c>
      <c r="F64" t="s">
        <v>47</v>
      </c>
      <c r="G64" t="s">
        <v>55</v>
      </c>
      <c r="H64">
        <v>18</v>
      </c>
      <c r="I64">
        <v>37</v>
      </c>
      <c r="J64">
        <v>666</v>
      </c>
      <c r="K64">
        <v>396</v>
      </c>
      <c r="L64">
        <v>270</v>
      </c>
      <c r="M64">
        <v>44</v>
      </c>
      <c r="N64">
        <v>20</v>
      </c>
      <c r="O64" t="s">
        <v>39</v>
      </c>
      <c r="P64">
        <f>tbl_sales[[#This Row],[Profit]]/tbl_sales[[#This Row],[Total_Sales]]</f>
        <v>0.40540540540540543</v>
      </c>
    </row>
    <row r="65" spans="1:16">
      <c r="A65" s="1">
        <v>45437</v>
      </c>
      <c r="B65" t="s">
        <v>119</v>
      </c>
      <c r="C65" t="s">
        <v>179</v>
      </c>
      <c r="D65" t="s">
        <v>67</v>
      </c>
      <c r="E65" t="s">
        <v>53</v>
      </c>
      <c r="F65" t="s">
        <v>52</v>
      </c>
      <c r="G65" t="s">
        <v>40</v>
      </c>
      <c r="H65">
        <v>25</v>
      </c>
      <c r="I65">
        <v>46</v>
      </c>
      <c r="J65">
        <v>1150</v>
      </c>
      <c r="K65">
        <v>650</v>
      </c>
      <c r="L65">
        <v>500</v>
      </c>
      <c r="M65">
        <v>95</v>
      </c>
      <c r="N65">
        <v>25</v>
      </c>
      <c r="O65" t="s">
        <v>39</v>
      </c>
      <c r="P65">
        <f>tbl_sales[[#This Row],[Profit]]/tbl_sales[[#This Row],[Total_Sales]]</f>
        <v>0.43478260869565216</v>
      </c>
    </row>
    <row r="66" spans="1:16">
      <c r="A66" s="1">
        <v>45440</v>
      </c>
      <c r="B66" t="s">
        <v>120</v>
      </c>
      <c r="C66" t="s">
        <v>180</v>
      </c>
      <c r="D66" t="s">
        <v>69</v>
      </c>
      <c r="E66" t="s">
        <v>58</v>
      </c>
      <c r="F66" t="s">
        <v>57</v>
      </c>
      <c r="G66" t="s">
        <v>45</v>
      </c>
      <c r="H66">
        <v>90</v>
      </c>
      <c r="I66">
        <v>3.1</v>
      </c>
      <c r="J66">
        <v>279</v>
      </c>
      <c r="K66">
        <v>135</v>
      </c>
      <c r="L66">
        <v>144</v>
      </c>
      <c r="M66">
        <v>150</v>
      </c>
      <c r="N66">
        <v>35</v>
      </c>
      <c r="O66" t="s">
        <v>39</v>
      </c>
      <c r="P66">
        <f>tbl_sales[[#This Row],[Profit]]/tbl_sales[[#This Row],[Total_Sales]]</f>
        <v>0.5161290322580645</v>
      </c>
    </row>
    <row r="67" spans="1:16">
      <c r="A67" s="1">
        <v>45445</v>
      </c>
      <c r="B67" t="s">
        <v>121</v>
      </c>
      <c r="C67" t="s">
        <v>171</v>
      </c>
      <c r="D67" t="s">
        <v>71</v>
      </c>
      <c r="E67" t="s">
        <v>37</v>
      </c>
      <c r="F67" t="s">
        <v>36</v>
      </c>
      <c r="G67" t="s">
        <v>50</v>
      </c>
      <c r="H67">
        <v>8</v>
      </c>
      <c r="I67">
        <v>795</v>
      </c>
      <c r="J67">
        <v>6360</v>
      </c>
      <c r="K67">
        <v>4600</v>
      </c>
      <c r="L67">
        <v>1760</v>
      </c>
      <c r="M67">
        <v>18</v>
      </c>
      <c r="N67">
        <v>7</v>
      </c>
      <c r="O67" t="s">
        <v>39</v>
      </c>
      <c r="P67">
        <f>tbl_sales[[#This Row],[Profit]]/tbl_sales[[#This Row],[Total_Sales]]</f>
        <v>0.27672955974842767</v>
      </c>
    </row>
    <row r="68" spans="1:16">
      <c r="A68" s="1">
        <v>45448</v>
      </c>
      <c r="B68" t="s">
        <v>122</v>
      </c>
      <c r="C68" t="s">
        <v>172</v>
      </c>
      <c r="D68" t="s">
        <v>73</v>
      </c>
      <c r="E68" t="s">
        <v>43</v>
      </c>
      <c r="F68" t="s">
        <v>42</v>
      </c>
      <c r="G68" t="s">
        <v>55</v>
      </c>
      <c r="H68">
        <v>65</v>
      </c>
      <c r="I68">
        <v>5.8</v>
      </c>
      <c r="J68">
        <v>377</v>
      </c>
      <c r="K68">
        <v>195</v>
      </c>
      <c r="L68">
        <v>182</v>
      </c>
      <c r="M68">
        <v>40</v>
      </c>
      <c r="N68">
        <v>50</v>
      </c>
      <c r="O68" t="s">
        <v>17</v>
      </c>
      <c r="P68">
        <f>tbl_sales[[#This Row],[Profit]]/tbl_sales[[#This Row],[Total_Sales]]</f>
        <v>0.48275862068965519</v>
      </c>
    </row>
    <row r="69" spans="1:16">
      <c r="A69" s="1">
        <v>45451</v>
      </c>
      <c r="B69" t="s">
        <v>123</v>
      </c>
      <c r="C69" t="s">
        <v>173</v>
      </c>
      <c r="D69" t="s">
        <v>75</v>
      </c>
      <c r="E69" t="s">
        <v>48</v>
      </c>
      <c r="F69" t="s">
        <v>47</v>
      </c>
      <c r="G69" t="s">
        <v>40</v>
      </c>
      <c r="H69">
        <v>5</v>
      </c>
      <c r="I69">
        <v>345</v>
      </c>
      <c r="J69">
        <v>1725</v>
      </c>
      <c r="K69">
        <v>1125</v>
      </c>
      <c r="L69">
        <v>600</v>
      </c>
      <c r="M69">
        <v>16</v>
      </c>
      <c r="N69">
        <v>6</v>
      </c>
      <c r="O69" t="s">
        <v>39</v>
      </c>
      <c r="P69">
        <f>tbl_sales[[#This Row],[Profit]]/tbl_sales[[#This Row],[Total_Sales]]</f>
        <v>0.34782608695652173</v>
      </c>
    </row>
    <row r="70" spans="1:16">
      <c r="A70" s="1">
        <v>45454</v>
      </c>
      <c r="B70" t="s">
        <v>124</v>
      </c>
      <c r="C70" t="s">
        <v>174</v>
      </c>
      <c r="D70" t="s">
        <v>77</v>
      </c>
      <c r="E70" t="s">
        <v>53</v>
      </c>
      <c r="F70" t="s">
        <v>52</v>
      </c>
      <c r="G70" t="s">
        <v>45</v>
      </c>
      <c r="H70">
        <v>35</v>
      </c>
      <c r="I70">
        <v>29</v>
      </c>
      <c r="J70">
        <v>1015</v>
      </c>
      <c r="K70">
        <v>525</v>
      </c>
      <c r="L70">
        <v>490</v>
      </c>
      <c r="M70">
        <v>65</v>
      </c>
      <c r="N70">
        <v>15</v>
      </c>
      <c r="O70" t="s">
        <v>39</v>
      </c>
      <c r="P70">
        <f>tbl_sales[[#This Row],[Profit]]/tbl_sales[[#This Row],[Total_Sales]]</f>
        <v>0.48275862068965519</v>
      </c>
    </row>
    <row r="71" spans="1:16">
      <c r="A71" s="1">
        <v>45457</v>
      </c>
      <c r="B71" t="s">
        <v>125</v>
      </c>
      <c r="C71" t="s">
        <v>175</v>
      </c>
      <c r="D71" t="s">
        <v>79</v>
      </c>
      <c r="E71" t="s">
        <v>58</v>
      </c>
      <c r="F71" t="s">
        <v>57</v>
      </c>
      <c r="G71" t="s">
        <v>50</v>
      </c>
      <c r="H71">
        <v>80</v>
      </c>
      <c r="I71">
        <v>5.2</v>
      </c>
      <c r="J71">
        <v>416</v>
      </c>
      <c r="K71">
        <v>184</v>
      </c>
      <c r="L71">
        <v>232</v>
      </c>
      <c r="M71">
        <v>190</v>
      </c>
      <c r="N71">
        <v>60</v>
      </c>
      <c r="O71" t="s">
        <v>39</v>
      </c>
      <c r="P71">
        <f>tbl_sales[[#This Row],[Profit]]/tbl_sales[[#This Row],[Total_Sales]]</f>
        <v>0.55769230769230771</v>
      </c>
    </row>
    <row r="72" spans="1:16">
      <c r="A72" s="1">
        <v>45460</v>
      </c>
      <c r="B72" t="s">
        <v>126</v>
      </c>
      <c r="C72" t="s">
        <v>176</v>
      </c>
      <c r="D72" t="s">
        <v>81</v>
      </c>
      <c r="E72" t="s">
        <v>37</v>
      </c>
      <c r="F72" t="s">
        <v>36</v>
      </c>
      <c r="G72" t="s">
        <v>55</v>
      </c>
      <c r="H72">
        <v>16</v>
      </c>
      <c r="I72">
        <v>90</v>
      </c>
      <c r="J72">
        <v>1440</v>
      </c>
      <c r="K72">
        <v>800</v>
      </c>
      <c r="L72">
        <v>640</v>
      </c>
      <c r="M72">
        <v>9</v>
      </c>
      <c r="N72">
        <v>10</v>
      </c>
      <c r="O72" t="s">
        <v>17</v>
      </c>
      <c r="P72">
        <f>tbl_sales[[#This Row],[Profit]]/tbl_sales[[#This Row],[Total_Sales]]</f>
        <v>0.44444444444444442</v>
      </c>
    </row>
    <row r="73" spans="1:16">
      <c r="A73" s="1">
        <v>45463</v>
      </c>
      <c r="B73" t="s">
        <v>127</v>
      </c>
      <c r="C73" t="s">
        <v>177</v>
      </c>
      <c r="D73" t="s">
        <v>83</v>
      </c>
      <c r="E73" t="s">
        <v>48</v>
      </c>
      <c r="F73" t="s">
        <v>42</v>
      </c>
      <c r="G73" t="s">
        <v>40</v>
      </c>
      <c r="H73">
        <v>6</v>
      </c>
      <c r="I73">
        <v>220</v>
      </c>
      <c r="J73">
        <v>1320</v>
      </c>
      <c r="K73">
        <v>840</v>
      </c>
      <c r="L73">
        <v>480</v>
      </c>
      <c r="M73">
        <v>22</v>
      </c>
      <c r="N73">
        <v>8</v>
      </c>
      <c r="O73" t="s">
        <v>39</v>
      </c>
      <c r="P73">
        <f>tbl_sales[[#This Row],[Profit]]/tbl_sales[[#This Row],[Total_Sales]]</f>
        <v>0.36363636363636365</v>
      </c>
    </row>
    <row r="74" spans="1:16">
      <c r="A74" s="1">
        <v>45466</v>
      </c>
      <c r="B74" t="s">
        <v>128</v>
      </c>
      <c r="C74" t="s">
        <v>178</v>
      </c>
      <c r="D74" t="s">
        <v>85</v>
      </c>
      <c r="E74" t="s">
        <v>43</v>
      </c>
      <c r="F74" t="s">
        <v>47</v>
      </c>
      <c r="G74" t="s">
        <v>45</v>
      </c>
      <c r="H74">
        <v>32</v>
      </c>
      <c r="I74">
        <v>14.5</v>
      </c>
      <c r="J74">
        <v>464</v>
      </c>
      <c r="K74">
        <v>208</v>
      </c>
      <c r="L74">
        <v>256</v>
      </c>
      <c r="M74">
        <v>95</v>
      </c>
      <c r="N74">
        <v>25</v>
      </c>
      <c r="O74" t="s">
        <v>39</v>
      </c>
      <c r="P74">
        <f>tbl_sales[[#This Row],[Profit]]/tbl_sales[[#This Row],[Total_Sales]]</f>
        <v>0.55172413793103448</v>
      </c>
    </row>
    <row r="75" spans="1:16">
      <c r="A75" s="1">
        <v>45469</v>
      </c>
      <c r="B75" t="s">
        <v>129</v>
      </c>
      <c r="C75" t="s">
        <v>179</v>
      </c>
      <c r="D75" t="s">
        <v>87</v>
      </c>
      <c r="E75" t="s">
        <v>53</v>
      </c>
      <c r="F75" t="s">
        <v>52</v>
      </c>
      <c r="G75" t="s">
        <v>50</v>
      </c>
      <c r="H75">
        <v>13</v>
      </c>
      <c r="I75">
        <v>100</v>
      </c>
      <c r="J75">
        <v>1300</v>
      </c>
      <c r="K75">
        <v>780</v>
      </c>
      <c r="L75">
        <v>520</v>
      </c>
      <c r="M75">
        <v>34</v>
      </c>
      <c r="N75">
        <v>8</v>
      </c>
      <c r="O75" t="s">
        <v>39</v>
      </c>
      <c r="P75">
        <f>tbl_sales[[#This Row],[Profit]]/tbl_sales[[#This Row],[Total_Sales]]</f>
        <v>0.4</v>
      </c>
    </row>
    <row r="76" spans="1:16">
      <c r="A76" s="1">
        <v>45472</v>
      </c>
      <c r="B76" t="s">
        <v>130</v>
      </c>
      <c r="C76" t="s">
        <v>180</v>
      </c>
      <c r="D76" t="s">
        <v>89</v>
      </c>
      <c r="E76" t="s">
        <v>58</v>
      </c>
      <c r="F76" t="s">
        <v>57</v>
      </c>
      <c r="G76" t="s">
        <v>55</v>
      </c>
      <c r="H76">
        <v>50</v>
      </c>
      <c r="I76">
        <v>7.8</v>
      </c>
      <c r="J76">
        <v>390</v>
      </c>
      <c r="K76">
        <v>170</v>
      </c>
      <c r="L76">
        <v>220</v>
      </c>
      <c r="M76">
        <v>30</v>
      </c>
      <c r="N76">
        <v>35</v>
      </c>
      <c r="O76" t="s">
        <v>17</v>
      </c>
      <c r="P76">
        <f>tbl_sales[[#This Row],[Profit]]/tbl_sales[[#This Row],[Total_Sales]]</f>
        <v>0.5641025641025641</v>
      </c>
    </row>
    <row r="77" spans="1:16">
      <c r="A77" s="1">
        <v>45476</v>
      </c>
      <c r="B77" t="s">
        <v>131</v>
      </c>
      <c r="C77" t="s">
        <v>171</v>
      </c>
      <c r="D77" t="s">
        <v>38</v>
      </c>
      <c r="E77" t="s">
        <v>37</v>
      </c>
      <c r="F77" t="s">
        <v>36</v>
      </c>
      <c r="G77" t="s">
        <v>40</v>
      </c>
      <c r="H77">
        <v>5</v>
      </c>
      <c r="I77">
        <v>960</v>
      </c>
      <c r="J77">
        <v>4800</v>
      </c>
      <c r="K77">
        <v>3525</v>
      </c>
      <c r="L77">
        <v>1275</v>
      </c>
      <c r="M77">
        <v>19</v>
      </c>
      <c r="N77">
        <v>5</v>
      </c>
      <c r="O77" t="s">
        <v>39</v>
      </c>
      <c r="P77">
        <f>tbl_sales[[#This Row],[Profit]]/tbl_sales[[#This Row],[Total_Sales]]</f>
        <v>0.265625</v>
      </c>
    </row>
    <row r="78" spans="1:16">
      <c r="A78" s="1">
        <v>45479</v>
      </c>
      <c r="B78" t="s">
        <v>132</v>
      </c>
      <c r="C78" t="s">
        <v>172</v>
      </c>
      <c r="D78" t="s">
        <v>44</v>
      </c>
      <c r="E78" t="s">
        <v>43</v>
      </c>
      <c r="F78" t="s">
        <v>42</v>
      </c>
      <c r="G78" t="s">
        <v>45</v>
      </c>
      <c r="H78">
        <v>70</v>
      </c>
      <c r="I78">
        <v>11.5</v>
      </c>
      <c r="J78">
        <v>805</v>
      </c>
      <c r="K78">
        <v>455</v>
      </c>
      <c r="L78">
        <v>350</v>
      </c>
      <c r="M78">
        <v>180</v>
      </c>
      <c r="N78">
        <v>40</v>
      </c>
      <c r="O78" t="s">
        <v>39</v>
      </c>
      <c r="P78">
        <f>tbl_sales[[#This Row],[Profit]]/tbl_sales[[#This Row],[Total_Sales]]</f>
        <v>0.43478260869565216</v>
      </c>
    </row>
    <row r="79" spans="1:16">
      <c r="A79" s="1">
        <v>45482</v>
      </c>
      <c r="B79" t="s">
        <v>133</v>
      </c>
      <c r="C79" t="s">
        <v>173</v>
      </c>
      <c r="D79" t="s">
        <v>49</v>
      </c>
      <c r="E79" t="s">
        <v>48</v>
      </c>
      <c r="F79" t="s">
        <v>47</v>
      </c>
      <c r="G79" t="s">
        <v>50</v>
      </c>
      <c r="H79">
        <v>8</v>
      </c>
      <c r="I79">
        <v>190</v>
      </c>
      <c r="J79">
        <v>1520</v>
      </c>
      <c r="K79">
        <v>960</v>
      </c>
      <c r="L79">
        <v>560</v>
      </c>
      <c r="M79">
        <v>13</v>
      </c>
      <c r="N79">
        <v>10</v>
      </c>
      <c r="O79" t="s">
        <v>39</v>
      </c>
      <c r="P79">
        <f>tbl_sales[[#This Row],[Profit]]/tbl_sales[[#This Row],[Total_Sales]]</f>
        <v>0.36842105263157893</v>
      </c>
    </row>
    <row r="80" spans="1:16">
      <c r="A80" s="1">
        <v>45485</v>
      </c>
      <c r="B80" t="s">
        <v>134</v>
      </c>
      <c r="C80" t="s">
        <v>174</v>
      </c>
      <c r="D80" t="s">
        <v>54</v>
      </c>
      <c r="E80" t="s">
        <v>53</v>
      </c>
      <c r="F80" t="s">
        <v>52</v>
      </c>
      <c r="G80" t="s">
        <v>55</v>
      </c>
      <c r="H80">
        <v>7</v>
      </c>
      <c r="I80">
        <v>270</v>
      </c>
      <c r="J80">
        <v>1890</v>
      </c>
      <c r="K80">
        <v>1260</v>
      </c>
      <c r="L80">
        <v>630</v>
      </c>
      <c r="M80">
        <v>7</v>
      </c>
      <c r="N80">
        <v>8</v>
      </c>
      <c r="O80" t="s">
        <v>17</v>
      </c>
      <c r="P80">
        <f>tbl_sales[[#This Row],[Profit]]/tbl_sales[[#This Row],[Total_Sales]]</f>
        <v>0.33333333333333331</v>
      </c>
    </row>
    <row r="81" spans="1:16">
      <c r="A81" s="1">
        <v>45488</v>
      </c>
      <c r="B81" t="s">
        <v>135</v>
      </c>
      <c r="C81" t="s">
        <v>175</v>
      </c>
      <c r="D81" t="s">
        <v>95</v>
      </c>
      <c r="E81" t="s">
        <v>58</v>
      </c>
      <c r="F81" t="s">
        <v>57</v>
      </c>
      <c r="G81" t="s">
        <v>40</v>
      </c>
      <c r="H81">
        <v>45</v>
      </c>
      <c r="I81">
        <v>12.5</v>
      </c>
      <c r="J81">
        <v>562.5</v>
      </c>
      <c r="K81">
        <v>279</v>
      </c>
      <c r="L81">
        <v>283.5</v>
      </c>
      <c r="M81">
        <v>70</v>
      </c>
      <c r="N81">
        <v>20</v>
      </c>
      <c r="O81" t="s">
        <v>39</v>
      </c>
      <c r="P81">
        <f>tbl_sales[[#This Row],[Profit]]/tbl_sales[[#This Row],[Total_Sales]]</f>
        <v>0.504</v>
      </c>
    </row>
    <row r="82" spans="1:16">
      <c r="A82" s="1">
        <v>45491</v>
      </c>
      <c r="B82" t="s">
        <v>136</v>
      </c>
      <c r="C82" t="s">
        <v>176</v>
      </c>
      <c r="D82" t="s">
        <v>61</v>
      </c>
      <c r="E82" t="s">
        <v>37</v>
      </c>
      <c r="F82" t="s">
        <v>36</v>
      </c>
      <c r="G82" t="s">
        <v>45</v>
      </c>
      <c r="H82">
        <v>9</v>
      </c>
      <c r="I82">
        <v>435</v>
      </c>
      <c r="J82">
        <v>3915</v>
      </c>
      <c r="K82">
        <v>2835</v>
      </c>
      <c r="L82">
        <v>1080</v>
      </c>
      <c r="M82">
        <v>18</v>
      </c>
      <c r="N82">
        <v>6</v>
      </c>
      <c r="O82" t="s">
        <v>39</v>
      </c>
      <c r="P82">
        <f>tbl_sales[[#This Row],[Profit]]/tbl_sales[[#This Row],[Total_Sales]]</f>
        <v>0.27586206896551724</v>
      </c>
    </row>
    <row r="83" spans="1:16">
      <c r="A83" s="1">
        <v>45494</v>
      </c>
      <c r="B83" t="s">
        <v>137</v>
      </c>
      <c r="C83" t="s">
        <v>177</v>
      </c>
      <c r="D83" t="s">
        <v>63</v>
      </c>
      <c r="E83" t="s">
        <v>48</v>
      </c>
      <c r="F83" t="s">
        <v>42</v>
      </c>
      <c r="G83" t="s">
        <v>50</v>
      </c>
      <c r="H83">
        <v>5</v>
      </c>
      <c r="I83">
        <v>530</v>
      </c>
      <c r="J83">
        <v>2650</v>
      </c>
      <c r="K83">
        <v>1800</v>
      </c>
      <c r="L83">
        <v>850</v>
      </c>
      <c r="M83">
        <v>12</v>
      </c>
      <c r="N83">
        <v>7</v>
      </c>
      <c r="O83" t="s">
        <v>39</v>
      </c>
      <c r="P83">
        <f>tbl_sales[[#This Row],[Profit]]/tbl_sales[[#This Row],[Total_Sales]]</f>
        <v>0.32075471698113206</v>
      </c>
    </row>
    <row r="84" spans="1:16">
      <c r="A84" s="1">
        <v>45497</v>
      </c>
      <c r="B84" t="s">
        <v>138</v>
      </c>
      <c r="C84" t="s">
        <v>178</v>
      </c>
      <c r="D84" t="s">
        <v>65</v>
      </c>
      <c r="E84" t="s">
        <v>43</v>
      </c>
      <c r="F84" t="s">
        <v>47</v>
      </c>
      <c r="G84" t="s">
        <v>55</v>
      </c>
      <c r="H84">
        <v>20</v>
      </c>
      <c r="I84">
        <v>38</v>
      </c>
      <c r="J84">
        <v>760</v>
      </c>
      <c r="K84">
        <v>460</v>
      </c>
      <c r="L84">
        <v>300</v>
      </c>
      <c r="M84">
        <v>15</v>
      </c>
      <c r="N84">
        <v>20</v>
      </c>
      <c r="O84" t="s">
        <v>17</v>
      </c>
      <c r="P84">
        <f>tbl_sales[[#This Row],[Profit]]/tbl_sales[[#This Row],[Total_Sales]]</f>
        <v>0.39473684210526316</v>
      </c>
    </row>
    <row r="85" spans="1:16">
      <c r="A85" s="1">
        <v>45500</v>
      </c>
      <c r="B85" t="s">
        <v>139</v>
      </c>
      <c r="C85" t="s">
        <v>179</v>
      </c>
      <c r="D85" t="s">
        <v>67</v>
      </c>
      <c r="E85" t="s">
        <v>53</v>
      </c>
      <c r="F85" t="s">
        <v>52</v>
      </c>
      <c r="G85" t="s">
        <v>40</v>
      </c>
      <c r="H85">
        <v>28</v>
      </c>
      <c r="I85">
        <v>47</v>
      </c>
      <c r="J85">
        <v>1316</v>
      </c>
      <c r="K85">
        <v>756</v>
      </c>
      <c r="L85">
        <v>560</v>
      </c>
      <c r="M85">
        <v>100</v>
      </c>
      <c r="N85">
        <v>25</v>
      </c>
      <c r="O85" t="s">
        <v>39</v>
      </c>
      <c r="P85">
        <f>tbl_sales[[#This Row],[Profit]]/tbl_sales[[#This Row],[Total_Sales]]</f>
        <v>0.42553191489361702</v>
      </c>
    </row>
    <row r="86" spans="1:16">
      <c r="A86" s="1">
        <v>45503</v>
      </c>
      <c r="B86" t="s">
        <v>140</v>
      </c>
      <c r="C86" t="s">
        <v>180</v>
      </c>
      <c r="D86" t="s">
        <v>69</v>
      </c>
      <c r="E86" t="s">
        <v>58</v>
      </c>
      <c r="F86" t="s">
        <v>57</v>
      </c>
      <c r="G86" t="s">
        <v>45</v>
      </c>
      <c r="H86">
        <v>100</v>
      </c>
      <c r="I86">
        <v>3.3</v>
      </c>
      <c r="J86">
        <v>330</v>
      </c>
      <c r="K86">
        <v>170</v>
      </c>
      <c r="L86">
        <v>160</v>
      </c>
      <c r="M86">
        <v>160</v>
      </c>
      <c r="N86">
        <v>35</v>
      </c>
      <c r="O86" t="s">
        <v>39</v>
      </c>
      <c r="P86">
        <f>tbl_sales[[#This Row],[Profit]]/tbl_sales[[#This Row],[Total_Sales]]</f>
        <v>0.48484848484848486</v>
      </c>
    </row>
    <row r="87" spans="1:16">
      <c r="A87" s="1">
        <v>45506</v>
      </c>
      <c r="B87" t="s">
        <v>141</v>
      </c>
      <c r="C87" t="s">
        <v>171</v>
      </c>
      <c r="D87" t="s">
        <v>71</v>
      </c>
      <c r="E87" t="s">
        <v>37</v>
      </c>
      <c r="F87" t="s">
        <v>36</v>
      </c>
      <c r="G87" t="s">
        <v>50</v>
      </c>
      <c r="H87">
        <v>9</v>
      </c>
      <c r="I87">
        <v>800</v>
      </c>
      <c r="J87">
        <v>7200</v>
      </c>
      <c r="K87">
        <v>5220</v>
      </c>
      <c r="L87">
        <v>1980</v>
      </c>
      <c r="M87">
        <v>20</v>
      </c>
      <c r="N87">
        <v>7</v>
      </c>
      <c r="O87" t="s">
        <v>39</v>
      </c>
      <c r="P87">
        <f>tbl_sales[[#This Row],[Profit]]/tbl_sales[[#This Row],[Total_Sales]]</f>
        <v>0.27500000000000002</v>
      </c>
    </row>
    <row r="88" spans="1:16">
      <c r="A88" s="1">
        <v>45509</v>
      </c>
      <c r="B88" t="s">
        <v>142</v>
      </c>
      <c r="C88" t="s">
        <v>172</v>
      </c>
      <c r="D88" t="s">
        <v>73</v>
      </c>
      <c r="E88" t="s">
        <v>43</v>
      </c>
      <c r="F88" t="s">
        <v>42</v>
      </c>
      <c r="G88" t="s">
        <v>55</v>
      </c>
      <c r="H88">
        <v>75</v>
      </c>
      <c r="I88">
        <v>6.2</v>
      </c>
      <c r="J88">
        <v>465</v>
      </c>
      <c r="K88">
        <v>232.5</v>
      </c>
      <c r="L88">
        <v>232.5</v>
      </c>
      <c r="M88">
        <v>135</v>
      </c>
      <c r="N88">
        <v>50</v>
      </c>
      <c r="O88" t="s">
        <v>39</v>
      </c>
      <c r="P88">
        <f>tbl_sales[[#This Row],[Profit]]/tbl_sales[[#This Row],[Total_Sales]]</f>
        <v>0.5</v>
      </c>
    </row>
    <row r="89" spans="1:16">
      <c r="A89" s="1">
        <v>45512</v>
      </c>
      <c r="B89" t="s">
        <v>143</v>
      </c>
      <c r="C89" t="s">
        <v>173</v>
      </c>
      <c r="D89" t="s">
        <v>75</v>
      </c>
      <c r="E89" t="s">
        <v>48</v>
      </c>
      <c r="F89" t="s">
        <v>47</v>
      </c>
      <c r="G89" t="s">
        <v>40</v>
      </c>
      <c r="H89">
        <v>6</v>
      </c>
      <c r="I89">
        <v>355</v>
      </c>
      <c r="J89">
        <v>2130</v>
      </c>
      <c r="K89">
        <v>1410</v>
      </c>
      <c r="L89">
        <v>720</v>
      </c>
      <c r="M89">
        <v>6</v>
      </c>
      <c r="N89">
        <v>6</v>
      </c>
      <c r="O89" t="s">
        <v>17</v>
      </c>
      <c r="P89">
        <f>tbl_sales[[#This Row],[Profit]]/tbl_sales[[#This Row],[Total_Sales]]</f>
        <v>0.3380281690140845</v>
      </c>
    </row>
    <row r="90" spans="1:16">
      <c r="A90" s="1">
        <v>45515</v>
      </c>
      <c r="B90" t="s">
        <v>144</v>
      </c>
      <c r="C90" t="s">
        <v>174</v>
      </c>
      <c r="D90" t="s">
        <v>77</v>
      </c>
      <c r="E90" t="s">
        <v>53</v>
      </c>
      <c r="F90" t="s">
        <v>52</v>
      </c>
      <c r="G90" t="s">
        <v>45</v>
      </c>
      <c r="H90">
        <v>40</v>
      </c>
      <c r="I90">
        <v>30</v>
      </c>
      <c r="J90">
        <v>1200</v>
      </c>
      <c r="K90">
        <v>640</v>
      </c>
      <c r="L90">
        <v>560</v>
      </c>
      <c r="M90">
        <v>75</v>
      </c>
      <c r="N90">
        <v>15</v>
      </c>
      <c r="O90" t="s">
        <v>39</v>
      </c>
      <c r="P90">
        <f>tbl_sales[[#This Row],[Profit]]/tbl_sales[[#This Row],[Total_Sales]]</f>
        <v>0.46666666666666667</v>
      </c>
    </row>
    <row r="91" spans="1:16">
      <c r="A91" s="1">
        <v>45518</v>
      </c>
      <c r="B91" t="s">
        <v>145</v>
      </c>
      <c r="C91" t="s">
        <v>175</v>
      </c>
      <c r="D91" t="s">
        <v>79</v>
      </c>
      <c r="E91" t="s">
        <v>58</v>
      </c>
      <c r="F91" t="s">
        <v>57</v>
      </c>
      <c r="G91" t="s">
        <v>50</v>
      </c>
      <c r="H91">
        <v>90</v>
      </c>
      <c r="I91">
        <v>5.5</v>
      </c>
      <c r="J91">
        <v>495</v>
      </c>
      <c r="K91">
        <v>225</v>
      </c>
      <c r="L91">
        <v>270</v>
      </c>
      <c r="M91">
        <v>210</v>
      </c>
      <c r="N91">
        <v>60</v>
      </c>
      <c r="O91" t="s">
        <v>39</v>
      </c>
      <c r="P91">
        <f>tbl_sales[[#This Row],[Profit]]/tbl_sales[[#This Row],[Total_Sales]]</f>
        <v>0.54545454545454541</v>
      </c>
    </row>
    <row r="92" spans="1:16">
      <c r="A92" s="1">
        <v>45521</v>
      </c>
      <c r="B92" t="s">
        <v>146</v>
      </c>
      <c r="C92" t="s">
        <v>176</v>
      </c>
      <c r="D92" t="s">
        <v>81</v>
      </c>
      <c r="E92" t="s">
        <v>37</v>
      </c>
      <c r="F92" t="s">
        <v>36</v>
      </c>
      <c r="G92" t="s">
        <v>55</v>
      </c>
      <c r="H92">
        <v>18</v>
      </c>
      <c r="I92">
        <v>92</v>
      </c>
      <c r="J92">
        <v>1656</v>
      </c>
      <c r="K92">
        <v>936</v>
      </c>
      <c r="L92">
        <v>720</v>
      </c>
      <c r="M92">
        <v>16</v>
      </c>
      <c r="N92">
        <v>10</v>
      </c>
      <c r="O92" t="s">
        <v>39</v>
      </c>
      <c r="P92">
        <f>tbl_sales[[#This Row],[Profit]]/tbl_sales[[#This Row],[Total_Sales]]</f>
        <v>0.43478260869565216</v>
      </c>
    </row>
    <row r="93" spans="1:16">
      <c r="A93" s="1">
        <v>45524</v>
      </c>
      <c r="B93" t="s">
        <v>147</v>
      </c>
      <c r="C93" t="s">
        <v>177</v>
      </c>
      <c r="D93" t="s">
        <v>83</v>
      </c>
      <c r="E93" t="s">
        <v>48</v>
      </c>
      <c r="F93" t="s">
        <v>42</v>
      </c>
      <c r="G93" t="s">
        <v>40</v>
      </c>
      <c r="H93">
        <v>7</v>
      </c>
      <c r="I93">
        <v>225</v>
      </c>
      <c r="J93">
        <v>1575</v>
      </c>
      <c r="K93">
        <v>1015</v>
      </c>
      <c r="L93">
        <v>560</v>
      </c>
      <c r="M93">
        <v>7</v>
      </c>
      <c r="N93">
        <v>8</v>
      </c>
      <c r="O93" t="s">
        <v>17</v>
      </c>
      <c r="P93">
        <f>tbl_sales[[#This Row],[Profit]]/tbl_sales[[#This Row],[Total_Sales]]</f>
        <v>0.35555555555555557</v>
      </c>
    </row>
    <row r="94" spans="1:16">
      <c r="A94" s="1">
        <v>45527</v>
      </c>
      <c r="B94" t="s">
        <v>148</v>
      </c>
      <c r="C94" t="s">
        <v>178</v>
      </c>
      <c r="D94" t="s">
        <v>85</v>
      </c>
      <c r="E94" t="s">
        <v>43</v>
      </c>
      <c r="F94" t="s">
        <v>47</v>
      </c>
      <c r="G94" t="s">
        <v>45</v>
      </c>
      <c r="H94">
        <v>36</v>
      </c>
      <c r="I94">
        <v>15</v>
      </c>
      <c r="J94">
        <v>540</v>
      </c>
      <c r="K94">
        <v>252</v>
      </c>
      <c r="L94">
        <v>288</v>
      </c>
      <c r="M94">
        <v>110</v>
      </c>
      <c r="N94">
        <v>25</v>
      </c>
      <c r="O94" t="s">
        <v>39</v>
      </c>
      <c r="P94">
        <f>tbl_sales[[#This Row],[Profit]]/tbl_sales[[#This Row],[Total_Sales]]</f>
        <v>0.53333333333333333</v>
      </c>
    </row>
    <row r="95" spans="1:16">
      <c r="A95" s="1">
        <v>45530</v>
      </c>
      <c r="B95" t="s">
        <v>149</v>
      </c>
      <c r="C95" t="s">
        <v>179</v>
      </c>
      <c r="D95" t="s">
        <v>87</v>
      </c>
      <c r="E95" t="s">
        <v>53</v>
      </c>
      <c r="F95" t="s">
        <v>52</v>
      </c>
      <c r="G95" t="s">
        <v>50</v>
      </c>
      <c r="H95">
        <v>15</v>
      </c>
      <c r="I95">
        <v>105</v>
      </c>
      <c r="J95">
        <v>1575</v>
      </c>
      <c r="K95">
        <v>930</v>
      </c>
      <c r="L95">
        <v>645</v>
      </c>
      <c r="M95">
        <v>32</v>
      </c>
      <c r="N95">
        <v>8</v>
      </c>
      <c r="O95" t="s">
        <v>39</v>
      </c>
      <c r="P95">
        <f>tbl_sales[[#This Row],[Profit]]/tbl_sales[[#This Row],[Total_Sales]]</f>
        <v>0.40952380952380951</v>
      </c>
    </row>
    <row r="96" spans="1:16">
      <c r="A96" s="1">
        <v>45533</v>
      </c>
      <c r="B96" t="s">
        <v>150</v>
      </c>
      <c r="C96" t="s">
        <v>180</v>
      </c>
      <c r="D96" t="s">
        <v>89</v>
      </c>
      <c r="E96" t="s">
        <v>58</v>
      </c>
      <c r="F96" t="s">
        <v>57</v>
      </c>
      <c r="G96" t="s">
        <v>55</v>
      </c>
      <c r="H96">
        <v>58</v>
      </c>
      <c r="I96">
        <v>8</v>
      </c>
      <c r="J96">
        <v>464</v>
      </c>
      <c r="K96">
        <v>203</v>
      </c>
      <c r="L96">
        <v>261</v>
      </c>
      <c r="M96">
        <v>95</v>
      </c>
      <c r="N96">
        <v>35</v>
      </c>
      <c r="O96" t="s">
        <v>39</v>
      </c>
      <c r="P96">
        <f>tbl_sales[[#This Row],[Profit]]/tbl_sales[[#This Row],[Total_Sales]]</f>
        <v>0.5625</v>
      </c>
    </row>
    <row r="97" spans="1:16">
      <c r="A97" s="1">
        <v>45538</v>
      </c>
      <c r="B97" t="s">
        <v>151</v>
      </c>
      <c r="C97" t="s">
        <v>171</v>
      </c>
      <c r="D97" t="s">
        <v>38</v>
      </c>
      <c r="E97" t="s">
        <v>37</v>
      </c>
      <c r="F97" t="s">
        <v>36</v>
      </c>
      <c r="G97" t="s">
        <v>40</v>
      </c>
      <c r="H97">
        <v>6</v>
      </c>
      <c r="I97">
        <v>990</v>
      </c>
      <c r="J97">
        <v>5940</v>
      </c>
      <c r="K97">
        <v>4380</v>
      </c>
      <c r="L97">
        <v>1560</v>
      </c>
      <c r="M97">
        <v>4</v>
      </c>
      <c r="N97">
        <v>5</v>
      </c>
      <c r="O97" t="s">
        <v>17</v>
      </c>
      <c r="P97">
        <f>tbl_sales[[#This Row],[Profit]]/tbl_sales[[#This Row],[Total_Sales]]</f>
        <v>0.26262626262626265</v>
      </c>
    </row>
    <row r="98" spans="1:16">
      <c r="A98" s="1">
        <v>45541</v>
      </c>
      <c r="B98" t="s">
        <v>152</v>
      </c>
      <c r="C98" t="s">
        <v>172</v>
      </c>
      <c r="D98" t="s">
        <v>44</v>
      </c>
      <c r="E98" t="s">
        <v>43</v>
      </c>
      <c r="F98" t="s">
        <v>42</v>
      </c>
      <c r="G98" t="s">
        <v>45</v>
      </c>
      <c r="H98">
        <v>85</v>
      </c>
      <c r="I98">
        <v>12.2</v>
      </c>
      <c r="J98">
        <v>1037</v>
      </c>
      <c r="K98">
        <v>612</v>
      </c>
      <c r="L98">
        <v>425</v>
      </c>
      <c r="M98">
        <v>145</v>
      </c>
      <c r="N98">
        <v>40</v>
      </c>
      <c r="O98" t="s">
        <v>39</v>
      </c>
      <c r="P98">
        <f>tbl_sales[[#This Row],[Profit]]/tbl_sales[[#This Row],[Total_Sales]]</f>
        <v>0.4098360655737705</v>
      </c>
    </row>
    <row r="99" spans="1:16">
      <c r="A99" s="1">
        <v>45544</v>
      </c>
      <c r="B99" t="s">
        <v>153</v>
      </c>
      <c r="C99" t="s">
        <v>173</v>
      </c>
      <c r="D99" t="s">
        <v>49</v>
      </c>
      <c r="E99" t="s">
        <v>48</v>
      </c>
      <c r="F99" t="s">
        <v>47</v>
      </c>
      <c r="G99" t="s">
        <v>50</v>
      </c>
      <c r="H99">
        <v>9</v>
      </c>
      <c r="I99">
        <v>195</v>
      </c>
      <c r="J99">
        <v>1755</v>
      </c>
      <c r="K99">
        <v>1125</v>
      </c>
      <c r="L99">
        <v>630</v>
      </c>
      <c r="M99">
        <v>20</v>
      </c>
      <c r="N99">
        <v>10</v>
      </c>
      <c r="O99" t="s">
        <v>39</v>
      </c>
      <c r="P99">
        <f>tbl_sales[[#This Row],[Profit]]/tbl_sales[[#This Row],[Total_Sales]]</f>
        <v>0.35897435897435898</v>
      </c>
    </row>
    <row r="100" spans="1:16">
      <c r="A100" s="1">
        <v>45547</v>
      </c>
      <c r="B100" t="s">
        <v>154</v>
      </c>
      <c r="C100" t="s">
        <v>174</v>
      </c>
      <c r="D100" t="s">
        <v>54</v>
      </c>
      <c r="E100" t="s">
        <v>53</v>
      </c>
      <c r="F100" t="s">
        <v>52</v>
      </c>
      <c r="G100" t="s">
        <v>55</v>
      </c>
      <c r="H100">
        <v>8</v>
      </c>
      <c r="I100">
        <v>275</v>
      </c>
      <c r="J100">
        <v>2200</v>
      </c>
      <c r="K100">
        <v>1480</v>
      </c>
      <c r="L100">
        <v>720</v>
      </c>
      <c r="M100">
        <v>26</v>
      </c>
      <c r="N100">
        <v>8</v>
      </c>
      <c r="O100" t="s">
        <v>39</v>
      </c>
      <c r="P100">
        <f>tbl_sales[[#This Row],[Profit]]/tbl_sales[[#This Row],[Total_Sales]]</f>
        <v>0.32727272727272727</v>
      </c>
    </row>
    <row r="101" spans="1:16">
      <c r="A101" s="1">
        <v>45550</v>
      </c>
      <c r="B101" t="s">
        <v>155</v>
      </c>
      <c r="C101" t="s">
        <v>175</v>
      </c>
      <c r="D101" t="s">
        <v>59</v>
      </c>
      <c r="E101" t="s">
        <v>58</v>
      </c>
      <c r="F101" t="s">
        <v>57</v>
      </c>
      <c r="G101" t="s">
        <v>40</v>
      </c>
      <c r="H101">
        <v>90</v>
      </c>
      <c r="I101">
        <v>8.8000000000000007</v>
      </c>
      <c r="J101">
        <v>792</v>
      </c>
      <c r="K101">
        <v>396</v>
      </c>
      <c r="L101">
        <v>396</v>
      </c>
      <c r="M101">
        <v>115</v>
      </c>
      <c r="N101">
        <v>30</v>
      </c>
      <c r="O101" t="s">
        <v>39</v>
      </c>
      <c r="P101">
        <f>tbl_sales[[#This Row],[Profit]]/tbl_sales[[#This Row],[Total_Sales]]</f>
        <v>0.5</v>
      </c>
    </row>
    <row r="102" spans="1:16">
      <c r="A102" s="1">
        <v>45553</v>
      </c>
      <c r="B102" t="s">
        <v>156</v>
      </c>
      <c r="C102" t="s">
        <v>176</v>
      </c>
      <c r="D102" t="s">
        <v>61</v>
      </c>
      <c r="E102" t="s">
        <v>37</v>
      </c>
      <c r="F102" t="s">
        <v>36</v>
      </c>
      <c r="G102" t="s">
        <v>45</v>
      </c>
      <c r="H102">
        <v>10</v>
      </c>
      <c r="I102">
        <v>440</v>
      </c>
      <c r="J102">
        <v>4400</v>
      </c>
      <c r="K102">
        <v>3200</v>
      </c>
      <c r="L102">
        <v>1200</v>
      </c>
      <c r="M102">
        <v>17</v>
      </c>
      <c r="N102">
        <v>6</v>
      </c>
      <c r="O102" t="s">
        <v>39</v>
      </c>
      <c r="P102">
        <f>tbl_sales[[#This Row],[Profit]]/tbl_sales[[#This Row],[Total_Sales]]</f>
        <v>0.27272727272727271</v>
      </c>
    </row>
    <row r="103" spans="1:16">
      <c r="A103" s="1">
        <v>45556</v>
      </c>
      <c r="B103" t="s">
        <v>157</v>
      </c>
      <c r="C103" t="s">
        <v>177</v>
      </c>
      <c r="D103" t="s">
        <v>63</v>
      </c>
      <c r="E103" t="s">
        <v>48</v>
      </c>
      <c r="F103" t="s">
        <v>42</v>
      </c>
      <c r="G103" t="s">
        <v>50</v>
      </c>
      <c r="H103">
        <v>6</v>
      </c>
      <c r="I103">
        <v>540</v>
      </c>
      <c r="J103">
        <v>3240</v>
      </c>
      <c r="K103">
        <v>2220</v>
      </c>
      <c r="L103">
        <v>1020</v>
      </c>
      <c r="M103">
        <v>5</v>
      </c>
      <c r="N103">
        <v>7</v>
      </c>
      <c r="O103" t="s">
        <v>17</v>
      </c>
      <c r="P103">
        <f>tbl_sales[[#This Row],[Profit]]/tbl_sales[[#This Row],[Total_Sales]]</f>
        <v>0.31481481481481483</v>
      </c>
    </row>
    <row r="104" spans="1:16">
      <c r="A104" s="1">
        <v>45559</v>
      </c>
      <c r="B104" t="s">
        <v>158</v>
      </c>
      <c r="C104" t="s">
        <v>178</v>
      </c>
      <c r="D104" t="s">
        <v>65</v>
      </c>
      <c r="E104" t="s">
        <v>43</v>
      </c>
      <c r="F104" t="s">
        <v>47</v>
      </c>
      <c r="G104" t="s">
        <v>55</v>
      </c>
      <c r="H104">
        <v>24</v>
      </c>
      <c r="I104">
        <v>39</v>
      </c>
      <c r="J104">
        <v>936</v>
      </c>
      <c r="K104">
        <v>576</v>
      </c>
      <c r="L104">
        <v>360</v>
      </c>
      <c r="M104">
        <v>50</v>
      </c>
      <c r="N104">
        <v>20</v>
      </c>
      <c r="O104" t="s">
        <v>39</v>
      </c>
      <c r="P104">
        <f>tbl_sales[[#This Row],[Profit]]/tbl_sales[[#This Row],[Total_Sales]]</f>
        <v>0.38461538461538464</v>
      </c>
    </row>
    <row r="105" spans="1:16">
      <c r="A105" s="1">
        <v>45562</v>
      </c>
      <c r="B105" t="s">
        <v>159</v>
      </c>
      <c r="C105" t="s">
        <v>179</v>
      </c>
      <c r="D105" t="s">
        <v>67</v>
      </c>
      <c r="E105" t="s">
        <v>53</v>
      </c>
      <c r="F105" t="s">
        <v>52</v>
      </c>
      <c r="G105" t="s">
        <v>40</v>
      </c>
      <c r="H105">
        <v>32</v>
      </c>
      <c r="I105">
        <v>48</v>
      </c>
      <c r="J105">
        <v>1536</v>
      </c>
      <c r="K105">
        <v>896</v>
      </c>
      <c r="L105">
        <v>640</v>
      </c>
      <c r="M105">
        <v>115</v>
      </c>
      <c r="N105">
        <v>25</v>
      </c>
      <c r="O105" t="s">
        <v>39</v>
      </c>
      <c r="P105">
        <f>tbl_sales[[#This Row],[Profit]]/tbl_sales[[#This Row],[Total_Sales]]</f>
        <v>0.41666666666666669</v>
      </c>
    </row>
    <row r="106" spans="1:16">
      <c r="A106" s="1">
        <v>45565</v>
      </c>
      <c r="B106" t="s">
        <v>160</v>
      </c>
      <c r="C106" t="s">
        <v>180</v>
      </c>
      <c r="D106" t="s">
        <v>69</v>
      </c>
      <c r="E106" t="s">
        <v>58</v>
      </c>
      <c r="F106" t="s">
        <v>57</v>
      </c>
      <c r="G106" t="s">
        <v>45</v>
      </c>
      <c r="H106">
        <v>120</v>
      </c>
      <c r="I106">
        <v>3.4</v>
      </c>
      <c r="J106">
        <v>408</v>
      </c>
      <c r="K106">
        <v>216</v>
      </c>
      <c r="L106">
        <v>192</v>
      </c>
      <c r="M106">
        <v>30</v>
      </c>
      <c r="N106">
        <v>35</v>
      </c>
      <c r="O106" t="s">
        <v>17</v>
      </c>
      <c r="P106">
        <f>tbl_sales[[#This Row],[Profit]]/tbl_sales[[#This Row],[Total_Sales]]</f>
        <v>0.47058823529411764</v>
      </c>
    </row>
    <row r="107" spans="1:16">
      <c r="A107" s="1">
        <v>45568</v>
      </c>
      <c r="B107" t="s">
        <v>161</v>
      </c>
      <c r="C107" t="s">
        <v>171</v>
      </c>
      <c r="D107" t="s">
        <v>71</v>
      </c>
      <c r="E107" t="s">
        <v>37</v>
      </c>
      <c r="F107" t="s">
        <v>36</v>
      </c>
      <c r="G107" t="s">
        <v>50</v>
      </c>
      <c r="H107">
        <v>10</v>
      </c>
      <c r="I107">
        <v>810</v>
      </c>
      <c r="J107">
        <v>8100</v>
      </c>
      <c r="K107">
        <v>5900</v>
      </c>
      <c r="L107">
        <v>2200</v>
      </c>
      <c r="M107">
        <v>22</v>
      </c>
      <c r="N107">
        <v>7</v>
      </c>
      <c r="O107" t="s">
        <v>39</v>
      </c>
      <c r="P107">
        <f>tbl_sales[[#This Row],[Profit]]/tbl_sales[[#This Row],[Total_Sales]]</f>
        <v>0.27160493827160492</v>
      </c>
    </row>
    <row r="108" spans="1:16">
      <c r="A108" s="1">
        <v>45571</v>
      </c>
      <c r="B108" t="s">
        <v>162</v>
      </c>
      <c r="C108" t="s">
        <v>172</v>
      </c>
      <c r="D108" t="s">
        <v>73</v>
      </c>
      <c r="E108" t="s">
        <v>43</v>
      </c>
      <c r="F108" t="s">
        <v>42</v>
      </c>
      <c r="G108" t="s">
        <v>55</v>
      </c>
      <c r="H108">
        <v>90</v>
      </c>
      <c r="I108">
        <v>6.5</v>
      </c>
      <c r="J108">
        <v>585</v>
      </c>
      <c r="K108">
        <v>288</v>
      </c>
      <c r="L108">
        <v>297</v>
      </c>
      <c r="M108">
        <v>160</v>
      </c>
      <c r="N108">
        <v>50</v>
      </c>
      <c r="O108" t="s">
        <v>39</v>
      </c>
      <c r="P108">
        <f>tbl_sales[[#This Row],[Profit]]/tbl_sales[[#This Row],[Total_Sales]]</f>
        <v>0.50769230769230766</v>
      </c>
    </row>
    <row r="109" spans="1:16">
      <c r="A109" s="1">
        <v>45574</v>
      </c>
      <c r="B109" t="s">
        <v>163</v>
      </c>
      <c r="C109" t="s">
        <v>173</v>
      </c>
      <c r="D109" t="s">
        <v>75</v>
      </c>
      <c r="E109" t="s">
        <v>48</v>
      </c>
      <c r="F109" t="s">
        <v>47</v>
      </c>
      <c r="G109" t="s">
        <v>40</v>
      </c>
      <c r="H109">
        <v>7</v>
      </c>
      <c r="I109">
        <v>360</v>
      </c>
      <c r="J109">
        <v>2520</v>
      </c>
      <c r="K109">
        <v>1680</v>
      </c>
      <c r="L109">
        <v>840</v>
      </c>
      <c r="M109">
        <v>14</v>
      </c>
      <c r="N109">
        <v>6</v>
      </c>
      <c r="O109" t="s">
        <v>39</v>
      </c>
      <c r="P109">
        <f>tbl_sales[[#This Row],[Profit]]/tbl_sales[[#This Row],[Total_Sales]]</f>
        <v>0.33333333333333331</v>
      </c>
    </row>
    <row r="110" spans="1:16">
      <c r="A110" s="1">
        <v>45577</v>
      </c>
      <c r="B110" t="s">
        <v>164</v>
      </c>
      <c r="C110" t="s">
        <v>174</v>
      </c>
      <c r="D110" t="s">
        <v>77</v>
      </c>
      <c r="E110" t="s">
        <v>53</v>
      </c>
      <c r="F110" t="s">
        <v>52</v>
      </c>
      <c r="G110" t="s">
        <v>45</v>
      </c>
      <c r="H110">
        <v>45</v>
      </c>
      <c r="I110">
        <v>31</v>
      </c>
      <c r="J110">
        <v>1395</v>
      </c>
      <c r="K110">
        <v>765</v>
      </c>
      <c r="L110">
        <v>630</v>
      </c>
      <c r="M110">
        <v>12</v>
      </c>
      <c r="N110">
        <v>15</v>
      </c>
      <c r="O110" t="s">
        <v>17</v>
      </c>
      <c r="P110">
        <f>tbl_sales[[#This Row],[Profit]]/tbl_sales[[#This Row],[Total_Sales]]</f>
        <v>0.45161290322580644</v>
      </c>
    </row>
    <row r="111" spans="1:16">
      <c r="A111" s="1">
        <v>45580</v>
      </c>
      <c r="B111" t="s">
        <v>165</v>
      </c>
      <c r="C111" t="s">
        <v>175</v>
      </c>
      <c r="D111" t="s">
        <v>79</v>
      </c>
      <c r="E111" t="s">
        <v>58</v>
      </c>
      <c r="F111" t="s">
        <v>57</v>
      </c>
      <c r="G111" t="s">
        <v>50</v>
      </c>
      <c r="H111">
        <v>100</v>
      </c>
      <c r="I111">
        <v>5.7</v>
      </c>
      <c r="J111">
        <v>570</v>
      </c>
      <c r="K111">
        <v>270</v>
      </c>
      <c r="L111">
        <v>300</v>
      </c>
      <c r="M111">
        <v>230</v>
      </c>
      <c r="N111">
        <v>60</v>
      </c>
      <c r="O111" t="s">
        <v>39</v>
      </c>
      <c r="P111">
        <f>tbl_sales[[#This Row],[Profit]]/tbl_sales[[#This Row],[Total_Sales]]</f>
        <v>0.52631578947368418</v>
      </c>
    </row>
    <row r="112" spans="1:16">
      <c r="A112" s="1">
        <v>45583</v>
      </c>
      <c r="B112" t="s">
        <v>166</v>
      </c>
      <c r="C112" t="s">
        <v>176</v>
      </c>
      <c r="D112" t="s">
        <v>81</v>
      </c>
      <c r="E112" t="s">
        <v>37</v>
      </c>
      <c r="F112" t="s">
        <v>36</v>
      </c>
      <c r="G112" t="s">
        <v>55</v>
      </c>
      <c r="H112">
        <v>20</v>
      </c>
      <c r="I112">
        <v>95</v>
      </c>
      <c r="J112">
        <v>1900</v>
      </c>
      <c r="K112">
        <v>1100</v>
      </c>
      <c r="L112">
        <v>800</v>
      </c>
      <c r="M112">
        <v>24</v>
      </c>
      <c r="N112">
        <v>10</v>
      </c>
      <c r="O112" t="s">
        <v>39</v>
      </c>
      <c r="P112">
        <f>tbl_sales[[#This Row],[Profit]]/tbl_sales[[#This Row],[Total_Sales]]</f>
        <v>0.42105263157894735</v>
      </c>
    </row>
    <row r="113" spans="1:16">
      <c r="A113" s="1">
        <v>45586</v>
      </c>
      <c r="B113" t="s">
        <v>167</v>
      </c>
      <c r="C113" t="s">
        <v>177</v>
      </c>
      <c r="D113" t="s">
        <v>83</v>
      </c>
      <c r="E113" t="s">
        <v>48</v>
      </c>
      <c r="F113" t="s">
        <v>42</v>
      </c>
      <c r="G113" t="s">
        <v>40</v>
      </c>
      <c r="H113">
        <v>8</v>
      </c>
      <c r="I113">
        <v>230</v>
      </c>
      <c r="J113">
        <v>1840</v>
      </c>
      <c r="K113">
        <v>1200</v>
      </c>
      <c r="L113">
        <v>640</v>
      </c>
      <c r="M113">
        <v>14</v>
      </c>
      <c r="N113">
        <v>8</v>
      </c>
      <c r="O113" t="s">
        <v>39</v>
      </c>
      <c r="P113">
        <f>tbl_sales[[#This Row],[Profit]]/tbl_sales[[#This Row],[Total_Sales]]</f>
        <v>0.34782608695652173</v>
      </c>
    </row>
    <row r="114" spans="1:16">
      <c r="A114" s="1">
        <v>45589</v>
      </c>
      <c r="B114" t="s">
        <v>168</v>
      </c>
      <c r="C114" t="s">
        <v>178</v>
      </c>
      <c r="D114" t="s">
        <v>85</v>
      </c>
      <c r="E114" t="s">
        <v>43</v>
      </c>
      <c r="F114" t="s">
        <v>47</v>
      </c>
      <c r="G114" t="s">
        <v>45</v>
      </c>
      <c r="H114">
        <v>40</v>
      </c>
      <c r="I114">
        <v>15.5</v>
      </c>
      <c r="J114">
        <v>620</v>
      </c>
      <c r="K114">
        <v>300</v>
      </c>
      <c r="L114">
        <v>320</v>
      </c>
      <c r="M114">
        <v>20</v>
      </c>
      <c r="N114">
        <v>25</v>
      </c>
      <c r="O114" t="s">
        <v>17</v>
      </c>
      <c r="P114">
        <f>tbl_sales[[#This Row],[Profit]]/tbl_sales[[#This Row],[Total_Sales]]</f>
        <v>0.5161290322580645</v>
      </c>
    </row>
    <row r="115" spans="1:16">
      <c r="A115" s="1">
        <v>45592</v>
      </c>
      <c r="B115" t="s">
        <v>169</v>
      </c>
      <c r="C115" t="s">
        <v>179</v>
      </c>
      <c r="D115" t="s">
        <v>87</v>
      </c>
      <c r="E115" t="s">
        <v>53</v>
      </c>
      <c r="F115" t="s">
        <v>52</v>
      </c>
      <c r="G115" t="s">
        <v>50</v>
      </c>
      <c r="H115">
        <v>18</v>
      </c>
      <c r="I115">
        <v>108</v>
      </c>
      <c r="J115">
        <v>1944</v>
      </c>
      <c r="K115">
        <v>1170</v>
      </c>
      <c r="L115">
        <v>774</v>
      </c>
      <c r="M115">
        <v>45</v>
      </c>
      <c r="N115">
        <v>8</v>
      </c>
      <c r="O115" t="s">
        <v>39</v>
      </c>
      <c r="P115">
        <f>tbl_sales[[#This Row],[Profit]]/tbl_sales[[#This Row],[Total_Sales]]</f>
        <v>0.39814814814814814</v>
      </c>
    </row>
    <row r="116" spans="1:16">
      <c r="A116" s="1">
        <v>45595</v>
      </c>
      <c r="B116" t="s">
        <v>170</v>
      </c>
      <c r="C116" t="s">
        <v>180</v>
      </c>
      <c r="D116" t="s">
        <v>89</v>
      </c>
      <c r="E116" t="s">
        <v>58</v>
      </c>
      <c r="F116" t="s">
        <v>57</v>
      </c>
      <c r="G116" t="s">
        <v>55</v>
      </c>
      <c r="H116">
        <v>65</v>
      </c>
      <c r="I116">
        <v>8.1999999999999993</v>
      </c>
      <c r="J116">
        <v>533</v>
      </c>
      <c r="K116">
        <v>240.5</v>
      </c>
      <c r="L116">
        <v>292.5</v>
      </c>
      <c r="M116">
        <v>100</v>
      </c>
      <c r="N116">
        <v>35</v>
      </c>
      <c r="O116" t="s">
        <v>39</v>
      </c>
      <c r="P116">
        <f>tbl_sales[[#This Row],[Profit]]/tbl_sales[[#This Row],[Total_Sales]]</f>
        <v>0.54878048780487809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17DE-F2A7-4A82-9B79-E13AB75FB254}">
  <dimension ref="B8:M50"/>
  <sheetViews>
    <sheetView showGridLines="0" topLeftCell="A21" workbookViewId="0">
      <selection activeCell="J7" sqref="J7"/>
    </sheetView>
  </sheetViews>
  <sheetFormatPr baseColWidth="10" defaultRowHeight="15"/>
  <cols>
    <col min="2" max="2" width="29.5703125" bestFit="1" customWidth="1"/>
    <col min="3" max="3" width="40.5703125" bestFit="1" customWidth="1"/>
    <col min="4" max="4" width="25.28515625" bestFit="1" customWidth="1"/>
    <col min="5" max="5" width="16.28515625" customWidth="1"/>
    <col min="6" max="6" width="17.7109375" customWidth="1"/>
    <col min="7" max="7" width="12.140625" customWidth="1"/>
  </cols>
  <sheetData>
    <row r="8" spans="2:13" ht="18.75">
      <c r="B8" s="14" t="s">
        <v>204</v>
      </c>
      <c r="C8" s="15" t="s">
        <v>203</v>
      </c>
      <c r="D8" s="15"/>
      <c r="E8" s="15"/>
      <c r="F8" s="15"/>
      <c r="G8" s="15"/>
      <c r="H8" s="13"/>
      <c r="I8" s="13"/>
      <c r="J8" s="13"/>
      <c r="K8" s="13"/>
      <c r="L8" s="13"/>
      <c r="M8" s="13"/>
    </row>
    <row r="11" spans="2:13">
      <c r="B11" t="s">
        <v>205</v>
      </c>
      <c r="C11" t="s">
        <v>206</v>
      </c>
      <c r="D11" t="s">
        <v>207</v>
      </c>
      <c r="E11" t="s">
        <v>14</v>
      </c>
    </row>
    <row r="12" spans="2:13">
      <c r="B12" t="s">
        <v>208</v>
      </c>
      <c r="C12" t="s">
        <v>209</v>
      </c>
      <c r="D12" t="s">
        <v>210</v>
      </c>
      <c r="E12" t="s">
        <v>211</v>
      </c>
    </row>
    <row r="13" spans="2:13">
      <c r="B13" t="s">
        <v>212</v>
      </c>
      <c r="C13" t="s">
        <v>213</v>
      </c>
      <c r="D13" t="s">
        <v>214</v>
      </c>
      <c r="E13" t="s">
        <v>211</v>
      </c>
    </row>
    <row r="14" spans="2:13">
      <c r="B14" t="s">
        <v>215</v>
      </c>
      <c r="C14" t="s">
        <v>216</v>
      </c>
      <c r="D14" t="s">
        <v>217</v>
      </c>
      <c r="E14" t="s">
        <v>211</v>
      </c>
    </row>
    <row r="15" spans="2:13">
      <c r="B15" t="s">
        <v>218</v>
      </c>
      <c r="C15" t="s">
        <v>219</v>
      </c>
      <c r="D15" t="s">
        <v>220</v>
      </c>
      <c r="E15" t="s">
        <v>211</v>
      </c>
    </row>
    <row r="16" spans="2:13">
      <c r="B16" t="s">
        <v>221</v>
      </c>
      <c r="C16" t="s">
        <v>222</v>
      </c>
      <c r="D16" t="s">
        <v>223</v>
      </c>
      <c r="E16" t="s">
        <v>211</v>
      </c>
    </row>
    <row r="17" spans="2:7">
      <c r="B17" t="s">
        <v>224</v>
      </c>
      <c r="C17" t="s">
        <v>225</v>
      </c>
      <c r="D17" t="s">
        <v>223</v>
      </c>
      <c r="E17" t="s">
        <v>211</v>
      </c>
    </row>
    <row r="18" spans="2:7">
      <c r="B18" t="s">
        <v>226</v>
      </c>
      <c r="C18" t="s">
        <v>227</v>
      </c>
      <c r="D18" t="s">
        <v>223</v>
      </c>
      <c r="E18" t="s">
        <v>211</v>
      </c>
    </row>
    <row r="19" spans="2:7">
      <c r="B19" t="s">
        <v>228</v>
      </c>
      <c r="C19" t="s">
        <v>229</v>
      </c>
      <c r="D19" t="s">
        <v>230</v>
      </c>
      <c r="E19" t="s">
        <v>231</v>
      </c>
    </row>
    <row r="23" spans="2:7" ht="18.75">
      <c r="B23" s="12" t="s">
        <v>232</v>
      </c>
      <c r="C23" s="12"/>
      <c r="D23" s="12"/>
      <c r="E23" s="12"/>
      <c r="F23" s="12"/>
      <c r="G23" s="12"/>
    </row>
    <row r="24" spans="2:7" ht="17.25" customHeight="1"/>
    <row r="25" spans="2:7"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</row>
    <row r="26" spans="2:7">
      <c r="B26" t="s">
        <v>181</v>
      </c>
      <c r="C26">
        <v>120</v>
      </c>
      <c r="D26">
        <v>50</v>
      </c>
      <c r="E26" t="s">
        <v>17</v>
      </c>
      <c r="F26" t="s">
        <v>39</v>
      </c>
      <c r="G26" t="str">
        <f>IF(E26=F26,"PASS","CHECK")</f>
        <v>CHECK</v>
      </c>
    </row>
    <row r="27" spans="2:7">
      <c r="B27" t="s">
        <v>182</v>
      </c>
      <c r="C27">
        <v>35</v>
      </c>
      <c r="D27">
        <v>40</v>
      </c>
      <c r="E27" t="s">
        <v>39</v>
      </c>
      <c r="F27" t="s">
        <v>17</v>
      </c>
      <c r="G27" t="str">
        <f t="shared" ref="G27:G30" si="0">IF(E27=F27,"PASS","CHECK")</f>
        <v>CHECK</v>
      </c>
    </row>
    <row r="28" spans="2:7">
      <c r="B28" t="s">
        <v>190</v>
      </c>
      <c r="C28">
        <v>20</v>
      </c>
      <c r="D28">
        <v>35</v>
      </c>
      <c r="E28" t="s">
        <v>39</v>
      </c>
      <c r="F28" t="s">
        <v>17</v>
      </c>
      <c r="G28" t="str">
        <f t="shared" si="0"/>
        <v>CHECK</v>
      </c>
    </row>
    <row r="29" spans="2:7">
      <c r="B29" t="s">
        <v>192</v>
      </c>
      <c r="C29">
        <v>75</v>
      </c>
      <c r="D29">
        <v>40</v>
      </c>
      <c r="E29" t="s">
        <v>17</v>
      </c>
      <c r="F29" t="s">
        <v>39</v>
      </c>
      <c r="G29" t="str">
        <f t="shared" si="0"/>
        <v>CHECK</v>
      </c>
    </row>
    <row r="30" spans="2:7">
      <c r="B30" t="s">
        <v>143</v>
      </c>
      <c r="C30">
        <v>6</v>
      </c>
      <c r="D30">
        <v>6</v>
      </c>
      <c r="E30" t="s">
        <v>17</v>
      </c>
      <c r="F30" t="s">
        <v>39</v>
      </c>
      <c r="G30" t="str">
        <f t="shared" si="0"/>
        <v>CHECK</v>
      </c>
    </row>
    <row r="33" spans="2:3" ht="18.75">
      <c r="B33" s="12" t="s">
        <v>240</v>
      </c>
      <c r="C33" s="12"/>
    </row>
    <row r="35" spans="2:3">
      <c r="B35" t="s">
        <v>241</v>
      </c>
      <c r="C35" t="s">
        <v>207</v>
      </c>
    </row>
    <row r="36" spans="2:3">
      <c r="B36" t="s">
        <v>242</v>
      </c>
      <c r="C36">
        <v>115</v>
      </c>
    </row>
    <row r="37" spans="2:3">
      <c r="B37" t="s">
        <v>208</v>
      </c>
      <c r="C37">
        <v>0</v>
      </c>
    </row>
    <row r="38" spans="2:3">
      <c r="B38" t="s">
        <v>243</v>
      </c>
      <c r="C38">
        <v>0</v>
      </c>
    </row>
    <row r="39" spans="2:3">
      <c r="B39" t="s">
        <v>244</v>
      </c>
      <c r="C39">
        <v>5</v>
      </c>
    </row>
    <row r="40" spans="2:3">
      <c r="B40" t="s">
        <v>245</v>
      </c>
      <c r="C40">
        <v>115</v>
      </c>
    </row>
    <row r="43" spans="2:3" ht="18.75">
      <c r="B43" s="12" t="s">
        <v>246</v>
      </c>
      <c r="C43" s="12"/>
    </row>
    <row r="45" spans="2:3">
      <c r="B45" t="s">
        <v>247</v>
      </c>
      <c r="C45" t="s">
        <v>248</v>
      </c>
    </row>
    <row r="46" spans="2:3">
      <c r="B46" t="s">
        <v>249</v>
      </c>
      <c r="C46" t="s">
        <v>250</v>
      </c>
    </row>
    <row r="47" spans="2:3">
      <c r="B47" t="s">
        <v>249</v>
      </c>
      <c r="C47" t="s">
        <v>251</v>
      </c>
    </row>
    <row r="48" spans="2:3">
      <c r="B48" t="s">
        <v>20</v>
      </c>
      <c r="C48" t="s">
        <v>222</v>
      </c>
    </row>
    <row r="49" spans="2:3">
      <c r="B49" t="s">
        <v>11</v>
      </c>
      <c r="C49" t="s">
        <v>225</v>
      </c>
    </row>
    <row r="50" spans="2:3">
      <c r="B50" t="s">
        <v>252</v>
      </c>
      <c r="C50" t="s">
        <v>227</v>
      </c>
    </row>
  </sheetData>
  <mergeCells count="4">
    <mergeCell ref="B23:G23"/>
    <mergeCell ref="B33:C33"/>
    <mergeCell ref="B43:C43"/>
    <mergeCell ref="C8:G8"/>
  </mergeCells>
  <pageMargins left="0.7" right="0.7" top="0.75" bottom="0.75" header="0.3" footer="0.3"/>
  <pageSetup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E95A-D0B1-468A-A6DF-0FB97865C439}">
  <dimension ref="A1:Q116"/>
  <sheetViews>
    <sheetView workbookViewId="0">
      <selection activeCell="A14" sqref="A14"/>
    </sheetView>
  </sheetViews>
  <sheetFormatPr baseColWidth="10" defaultRowHeight="15"/>
  <cols>
    <col min="7" max="7" width="12.5703125" bestFit="1" customWidth="1"/>
    <col min="16" max="16" width="18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239</v>
      </c>
      <c r="Q1" s="2" t="s">
        <v>25</v>
      </c>
    </row>
    <row r="2" spans="1:17">
      <c r="A2" s="1">
        <v>45312</v>
      </c>
      <c r="B2" t="s">
        <v>181</v>
      </c>
      <c r="C2" t="s">
        <v>172</v>
      </c>
      <c r="D2" t="s">
        <v>54</v>
      </c>
      <c r="E2" t="s">
        <v>37</v>
      </c>
      <c r="F2" t="s">
        <v>15</v>
      </c>
      <c r="G2" t="s">
        <v>40</v>
      </c>
      <c r="H2">
        <v>25</v>
      </c>
      <c r="I2">
        <v>4.5</v>
      </c>
      <c r="J2">
        <f>+tbl_sales_clean[[#This Row],[Quantity_Sold]]*tbl_sales_clean[[#This Row],[Unit_Price]]</f>
        <v>112.5</v>
      </c>
      <c r="K2">
        <v>70</v>
      </c>
      <c r="L2">
        <f>+tbl_sales_clean[[#This Row],[Total_Sales]]-tbl_sales_clean[[#This Row],[Production_Cost]]</f>
        <v>42.5</v>
      </c>
      <c r="M2">
        <v>120</v>
      </c>
      <c r="N2">
        <v>50</v>
      </c>
      <c r="O2" s="8" t="str">
        <f>IF(M2&lt;N2,"Low Stock","In Stock")</f>
        <v>In Stock</v>
      </c>
      <c r="P2" s="8" t="str">
        <f t="shared" ref="P2:P33" si="0">IF(O2=IF(M2&lt;N2,"Low Stock","In Stock"),"PASS","CHECK")</f>
        <v>PASS</v>
      </c>
      <c r="Q2">
        <f>tbl_sales_clean[[#This Row],[Profit]]/tbl_sales_clean[[#This Row],[Total_Sales]]</f>
        <v>0.37777777777777777</v>
      </c>
    </row>
    <row r="3" spans="1:17">
      <c r="A3" s="1">
        <v>45296</v>
      </c>
      <c r="B3" t="s">
        <v>182</v>
      </c>
      <c r="C3" t="s">
        <v>173</v>
      </c>
      <c r="D3" t="s">
        <v>59</v>
      </c>
      <c r="E3" t="s">
        <v>43</v>
      </c>
      <c r="F3" t="s">
        <v>16</v>
      </c>
      <c r="G3" t="s">
        <v>45</v>
      </c>
      <c r="H3">
        <v>40</v>
      </c>
      <c r="I3">
        <v>3.2</v>
      </c>
      <c r="J3">
        <f>+tbl_sales_clean[[#This Row],[Quantity_Sold]]*tbl_sales_clean[[#This Row],[Unit_Price]]</f>
        <v>128</v>
      </c>
      <c r="K3">
        <v>80</v>
      </c>
      <c r="L3">
        <f>+tbl_sales_clean[[#This Row],[Total_Sales]]-tbl_sales_clean[[#This Row],[Production_Cost]]</f>
        <v>48</v>
      </c>
      <c r="M3">
        <v>35</v>
      </c>
      <c r="N3">
        <v>40</v>
      </c>
      <c r="O3" s="8" t="str">
        <f t="shared" ref="O3:O66" si="1">IF(M3&lt;N3,"Low Stock","In Stock")</f>
        <v>Low Stock</v>
      </c>
      <c r="P3" s="8" t="str">
        <f t="shared" si="0"/>
        <v>PASS</v>
      </c>
      <c r="Q3">
        <f>tbl_sales_clean[[#This Row],[Profit]]/tbl_sales_clean[[#This Row],[Total_Sales]]</f>
        <v>0.375</v>
      </c>
    </row>
    <row r="4" spans="1:17">
      <c r="A4" s="1">
        <v>45298</v>
      </c>
      <c r="B4" t="s">
        <v>183</v>
      </c>
      <c r="C4" t="s">
        <v>174</v>
      </c>
      <c r="D4" t="s">
        <v>61</v>
      </c>
      <c r="E4" t="s">
        <v>48</v>
      </c>
      <c r="F4" t="s">
        <v>18</v>
      </c>
      <c r="G4" t="s">
        <v>50</v>
      </c>
      <c r="H4">
        <v>30</v>
      </c>
      <c r="I4">
        <v>2.9</v>
      </c>
      <c r="J4">
        <f>+tbl_sales_clean[[#This Row],[Quantity_Sold]]*tbl_sales_clean[[#This Row],[Unit_Price]]</f>
        <v>87</v>
      </c>
      <c r="K4">
        <v>55</v>
      </c>
      <c r="L4">
        <f>+tbl_sales_clean[[#This Row],[Total_Sales]]-tbl_sales_clean[[#This Row],[Production_Cost]]</f>
        <v>32</v>
      </c>
      <c r="M4">
        <v>200</v>
      </c>
      <c r="N4">
        <v>60</v>
      </c>
      <c r="O4" s="8" t="str">
        <f t="shared" si="1"/>
        <v>In Stock</v>
      </c>
      <c r="P4" s="8" t="str">
        <f t="shared" si="0"/>
        <v>PASS</v>
      </c>
      <c r="Q4">
        <f>tbl_sales_clean[[#This Row],[Profit]]/tbl_sales_clean[[#This Row],[Total_Sales]]</f>
        <v>0.36781609195402298</v>
      </c>
    </row>
    <row r="5" spans="1:17">
      <c r="A5" s="1">
        <v>45300</v>
      </c>
      <c r="B5" t="s">
        <v>184</v>
      </c>
      <c r="C5" t="s">
        <v>175</v>
      </c>
      <c r="D5" t="s">
        <v>63</v>
      </c>
      <c r="E5" t="s">
        <v>53</v>
      </c>
      <c r="F5" t="s">
        <v>15</v>
      </c>
      <c r="G5" t="s">
        <v>55</v>
      </c>
      <c r="H5">
        <v>15</v>
      </c>
      <c r="I5">
        <v>10.5</v>
      </c>
      <c r="J5">
        <f>+tbl_sales_clean[[#This Row],[Quantity_Sold]]*tbl_sales_clean[[#This Row],[Unit_Price]]</f>
        <v>157.5</v>
      </c>
      <c r="K5">
        <v>95</v>
      </c>
      <c r="L5">
        <f>+tbl_sales_clean[[#This Row],[Total_Sales]]-tbl_sales_clean[[#This Row],[Production_Cost]]</f>
        <v>62.5</v>
      </c>
      <c r="M5">
        <v>45</v>
      </c>
      <c r="N5">
        <v>30</v>
      </c>
      <c r="O5" s="8" t="str">
        <f t="shared" si="1"/>
        <v>In Stock</v>
      </c>
      <c r="P5" s="8" t="str">
        <f t="shared" si="0"/>
        <v>PASS</v>
      </c>
      <c r="Q5">
        <f>tbl_sales_clean[[#This Row],[Profit]]/tbl_sales_clean[[#This Row],[Total_Sales]]</f>
        <v>0.3968253968253968</v>
      </c>
    </row>
    <row r="6" spans="1:17">
      <c r="A6" s="1">
        <v>45303</v>
      </c>
      <c r="B6" t="s">
        <v>185</v>
      </c>
      <c r="C6" t="s">
        <v>176</v>
      </c>
      <c r="D6" t="s">
        <v>65</v>
      </c>
      <c r="E6" t="s">
        <v>58</v>
      </c>
      <c r="F6" t="s">
        <v>19</v>
      </c>
      <c r="G6" t="s">
        <v>50</v>
      </c>
      <c r="H6">
        <v>50</v>
      </c>
      <c r="I6">
        <v>6</v>
      </c>
      <c r="J6">
        <f>+tbl_sales_clean[[#This Row],[Quantity_Sold]]*tbl_sales_clean[[#This Row],[Unit_Price]]</f>
        <v>300</v>
      </c>
      <c r="K6">
        <v>180</v>
      </c>
      <c r="L6">
        <f>+tbl_sales_clean[[#This Row],[Total_Sales]]-tbl_sales_clean[[#This Row],[Production_Cost]]</f>
        <v>120</v>
      </c>
      <c r="M6">
        <v>25</v>
      </c>
      <c r="N6">
        <v>35</v>
      </c>
      <c r="O6" s="8" t="str">
        <f t="shared" si="1"/>
        <v>Low Stock</v>
      </c>
      <c r="P6" s="8" t="str">
        <f t="shared" si="0"/>
        <v>PASS</v>
      </c>
      <c r="Q6">
        <f>tbl_sales_clean[[#This Row],[Profit]]/tbl_sales_clean[[#This Row],[Total_Sales]]</f>
        <v>0.4</v>
      </c>
    </row>
    <row r="7" spans="1:17">
      <c r="A7" s="1">
        <v>45306</v>
      </c>
      <c r="B7" t="s">
        <v>186</v>
      </c>
      <c r="C7" t="s">
        <v>177</v>
      </c>
      <c r="D7" t="s">
        <v>67</v>
      </c>
      <c r="E7" t="s">
        <v>37</v>
      </c>
      <c r="F7" t="s">
        <v>15</v>
      </c>
      <c r="G7" t="s">
        <v>55</v>
      </c>
      <c r="H7">
        <v>60</v>
      </c>
      <c r="I7">
        <v>4.5</v>
      </c>
      <c r="J7">
        <f>+tbl_sales_clean[[#This Row],[Quantity_Sold]]*tbl_sales_clean[[#This Row],[Unit_Price]]</f>
        <v>270</v>
      </c>
      <c r="K7">
        <v>160</v>
      </c>
      <c r="L7">
        <f>+tbl_sales_clean[[#This Row],[Total_Sales]]-tbl_sales_clean[[#This Row],[Production_Cost]]</f>
        <v>110</v>
      </c>
      <c r="M7">
        <v>80</v>
      </c>
      <c r="N7">
        <v>50</v>
      </c>
      <c r="O7" s="8" t="str">
        <f t="shared" si="1"/>
        <v>In Stock</v>
      </c>
      <c r="P7" s="8" t="str">
        <f t="shared" si="0"/>
        <v>PASS</v>
      </c>
      <c r="Q7">
        <f>tbl_sales_clean[[#This Row],[Profit]]/tbl_sales_clean[[#This Row],[Total_Sales]]</f>
        <v>0.40740740740740738</v>
      </c>
    </row>
    <row r="8" spans="1:17">
      <c r="A8" s="1">
        <v>45309</v>
      </c>
      <c r="B8" t="s">
        <v>187</v>
      </c>
      <c r="C8" t="s">
        <v>178</v>
      </c>
      <c r="D8" t="s">
        <v>69</v>
      </c>
      <c r="E8" t="s">
        <v>48</v>
      </c>
      <c r="F8" t="s">
        <v>16</v>
      </c>
      <c r="G8" t="s">
        <v>40</v>
      </c>
      <c r="H8">
        <v>35</v>
      </c>
      <c r="I8">
        <v>5.25</v>
      </c>
      <c r="J8">
        <f>+tbl_sales_clean[[#This Row],[Quantity_Sold]]*tbl_sales_clean[[#This Row],[Unit_Price]]</f>
        <v>183.75</v>
      </c>
      <c r="K8">
        <v>110</v>
      </c>
      <c r="L8">
        <f>+tbl_sales_clean[[#This Row],[Total_Sales]]-tbl_sales_clean[[#This Row],[Production_Cost]]</f>
        <v>73.75</v>
      </c>
      <c r="M8">
        <v>90</v>
      </c>
      <c r="N8">
        <v>40</v>
      </c>
      <c r="O8" s="8" t="str">
        <f t="shared" si="1"/>
        <v>In Stock</v>
      </c>
      <c r="P8" s="8" t="str">
        <f t="shared" si="0"/>
        <v>PASS</v>
      </c>
      <c r="Q8">
        <f>tbl_sales_clean[[#This Row],[Profit]]/tbl_sales_clean[[#This Row],[Total_Sales]]</f>
        <v>0.40136054421768708</v>
      </c>
    </row>
    <row r="9" spans="1:17">
      <c r="A9" s="1">
        <v>45312</v>
      </c>
      <c r="B9" t="s">
        <v>188</v>
      </c>
      <c r="C9" t="s">
        <v>179</v>
      </c>
      <c r="D9" t="s">
        <v>71</v>
      </c>
      <c r="E9" t="s">
        <v>43</v>
      </c>
      <c r="F9" t="s">
        <v>18</v>
      </c>
      <c r="G9" t="s">
        <v>45</v>
      </c>
      <c r="H9">
        <v>20</v>
      </c>
      <c r="I9">
        <v>3.2</v>
      </c>
      <c r="J9">
        <f>+tbl_sales_clean[[#This Row],[Quantity_Sold]]*tbl_sales_clean[[#This Row],[Unit_Price]]</f>
        <v>64</v>
      </c>
      <c r="K9">
        <v>40</v>
      </c>
      <c r="L9">
        <f>+tbl_sales_clean[[#This Row],[Total_Sales]]-tbl_sales_clean[[#This Row],[Production_Cost]]</f>
        <v>24</v>
      </c>
      <c r="M9">
        <v>30</v>
      </c>
      <c r="N9">
        <v>40</v>
      </c>
      <c r="O9" s="8" t="str">
        <f t="shared" si="1"/>
        <v>Low Stock</v>
      </c>
      <c r="P9" s="8" t="str">
        <f t="shared" si="0"/>
        <v>PASS</v>
      </c>
      <c r="Q9">
        <f>tbl_sales_clean[[#This Row],[Profit]]/tbl_sales_clean[[#This Row],[Total_Sales]]</f>
        <v>0.375</v>
      </c>
    </row>
    <row r="10" spans="1:17">
      <c r="A10" s="1">
        <v>45296</v>
      </c>
      <c r="B10" t="s">
        <v>189</v>
      </c>
      <c r="C10" t="s">
        <v>180</v>
      </c>
      <c r="D10" t="s">
        <v>73</v>
      </c>
      <c r="E10" t="s">
        <v>37</v>
      </c>
      <c r="F10" t="s">
        <v>19</v>
      </c>
      <c r="G10" t="s">
        <v>45</v>
      </c>
      <c r="H10">
        <v>45</v>
      </c>
      <c r="I10">
        <v>2.9</v>
      </c>
      <c r="J10">
        <f>+tbl_sales_clean[[#This Row],[Quantity_Sold]]*tbl_sales_clean[[#This Row],[Unit_Price]]</f>
        <v>130.5</v>
      </c>
      <c r="K10">
        <v>85</v>
      </c>
      <c r="L10">
        <f>+tbl_sales_clean[[#This Row],[Total_Sales]]-tbl_sales_clean[[#This Row],[Production_Cost]]</f>
        <v>45.5</v>
      </c>
      <c r="M10">
        <v>170</v>
      </c>
      <c r="N10">
        <v>60</v>
      </c>
      <c r="O10" s="8" t="str">
        <f t="shared" si="1"/>
        <v>In Stock</v>
      </c>
      <c r="P10" s="8" t="str">
        <f t="shared" si="0"/>
        <v>PASS</v>
      </c>
      <c r="Q10">
        <f>tbl_sales_clean[[#This Row],[Profit]]/tbl_sales_clean[[#This Row],[Total_Sales]]</f>
        <v>0.34865900383141762</v>
      </c>
    </row>
    <row r="11" spans="1:17">
      <c r="A11" s="1">
        <v>45298</v>
      </c>
      <c r="B11" t="s">
        <v>190</v>
      </c>
      <c r="C11" t="s">
        <v>171</v>
      </c>
      <c r="D11" t="s">
        <v>75</v>
      </c>
      <c r="E11" t="s">
        <v>43</v>
      </c>
      <c r="F11" t="s">
        <v>15</v>
      </c>
      <c r="G11" t="s">
        <v>50</v>
      </c>
      <c r="H11">
        <v>55</v>
      </c>
      <c r="I11">
        <v>6</v>
      </c>
      <c r="J11">
        <f>+tbl_sales_clean[[#This Row],[Quantity_Sold]]*tbl_sales_clean[[#This Row],[Unit_Price]]</f>
        <v>330</v>
      </c>
      <c r="K11">
        <v>195</v>
      </c>
      <c r="L11">
        <f>+tbl_sales_clean[[#This Row],[Total_Sales]]-tbl_sales_clean[[#This Row],[Production_Cost]]</f>
        <v>135</v>
      </c>
      <c r="M11">
        <v>20</v>
      </c>
      <c r="N11">
        <v>35</v>
      </c>
      <c r="O11" s="8" t="str">
        <f t="shared" si="1"/>
        <v>Low Stock</v>
      </c>
      <c r="P11" s="8" t="str">
        <f t="shared" si="0"/>
        <v>PASS</v>
      </c>
      <c r="Q11">
        <f>tbl_sales_clean[[#This Row],[Profit]]/tbl_sales_clean[[#This Row],[Total_Sales]]</f>
        <v>0.40909090909090912</v>
      </c>
    </row>
    <row r="12" spans="1:17">
      <c r="A12" s="1">
        <v>45300</v>
      </c>
      <c r="B12" t="s">
        <v>191</v>
      </c>
      <c r="C12" t="s">
        <v>172</v>
      </c>
      <c r="D12" t="s">
        <v>54</v>
      </c>
      <c r="E12" t="s">
        <v>48</v>
      </c>
      <c r="F12" t="s">
        <v>16</v>
      </c>
      <c r="G12" t="s">
        <v>55</v>
      </c>
      <c r="H12">
        <v>18</v>
      </c>
      <c r="I12">
        <v>10.5</v>
      </c>
      <c r="J12">
        <f>+tbl_sales_clean[[#This Row],[Quantity_Sold]]*tbl_sales_clean[[#This Row],[Unit_Price]]</f>
        <v>189</v>
      </c>
      <c r="K12">
        <v>112</v>
      </c>
      <c r="L12">
        <f>+tbl_sales_clean[[#This Row],[Total_Sales]]-tbl_sales_clean[[#This Row],[Production_Cost]]</f>
        <v>77</v>
      </c>
      <c r="M12">
        <v>50</v>
      </c>
      <c r="N12">
        <v>30</v>
      </c>
      <c r="O12" s="8" t="str">
        <f t="shared" si="1"/>
        <v>In Stock</v>
      </c>
      <c r="P12" s="8" t="str">
        <f t="shared" si="0"/>
        <v>PASS</v>
      </c>
      <c r="Q12">
        <f>tbl_sales_clean[[#This Row],[Profit]]/tbl_sales_clean[[#This Row],[Total_Sales]]</f>
        <v>0.40740740740740738</v>
      </c>
    </row>
    <row r="13" spans="1:17">
      <c r="A13" s="1">
        <v>45303</v>
      </c>
      <c r="B13" t="s">
        <v>192</v>
      </c>
      <c r="C13" t="s">
        <v>173</v>
      </c>
      <c r="D13" t="s">
        <v>59</v>
      </c>
      <c r="E13" t="s">
        <v>53</v>
      </c>
      <c r="F13" t="s">
        <v>18</v>
      </c>
      <c r="G13" t="s">
        <v>40</v>
      </c>
      <c r="H13">
        <v>28</v>
      </c>
      <c r="I13">
        <v>5.25</v>
      </c>
      <c r="J13">
        <f>+tbl_sales_clean[[#This Row],[Quantity_Sold]]*tbl_sales_clean[[#This Row],[Unit_Price]]</f>
        <v>147</v>
      </c>
      <c r="K13">
        <v>90</v>
      </c>
      <c r="L13">
        <f>+tbl_sales_clean[[#This Row],[Total_Sales]]-tbl_sales_clean[[#This Row],[Production_Cost]]</f>
        <v>57</v>
      </c>
      <c r="M13">
        <v>75</v>
      </c>
      <c r="N13">
        <v>40</v>
      </c>
      <c r="O13" s="8" t="str">
        <f t="shared" si="1"/>
        <v>In Stock</v>
      </c>
      <c r="P13" s="8" t="str">
        <f t="shared" si="0"/>
        <v>PASS</v>
      </c>
      <c r="Q13">
        <f>tbl_sales_clean[[#This Row],[Profit]]/tbl_sales_clean[[#This Row],[Total_Sales]]</f>
        <v>0.38775510204081631</v>
      </c>
    </row>
    <row r="14" spans="1:17">
      <c r="A14" s="1">
        <v>45306</v>
      </c>
      <c r="B14" t="s">
        <v>193</v>
      </c>
      <c r="C14" t="s">
        <v>174</v>
      </c>
      <c r="D14" t="s">
        <v>61</v>
      </c>
      <c r="E14" t="s">
        <v>58</v>
      </c>
      <c r="F14" t="s">
        <v>19</v>
      </c>
      <c r="G14" t="s">
        <v>45</v>
      </c>
      <c r="H14">
        <v>70</v>
      </c>
      <c r="I14">
        <v>4.5</v>
      </c>
      <c r="J14">
        <f>+tbl_sales_clean[[#This Row],[Quantity_Sold]]*tbl_sales_clean[[#This Row],[Unit_Price]]</f>
        <v>315</v>
      </c>
      <c r="K14">
        <v>210</v>
      </c>
      <c r="L14">
        <f>+tbl_sales_clean[[#This Row],[Total_Sales]]-tbl_sales_clean[[#This Row],[Production_Cost]]</f>
        <v>105</v>
      </c>
      <c r="M14">
        <v>65</v>
      </c>
      <c r="N14">
        <v>50</v>
      </c>
      <c r="O14" s="8" t="str">
        <f t="shared" si="1"/>
        <v>In Stock</v>
      </c>
      <c r="P14" s="8" t="str">
        <f t="shared" si="0"/>
        <v>PASS</v>
      </c>
      <c r="Q14">
        <f>tbl_sales_clean[[#This Row],[Profit]]/tbl_sales_clean[[#This Row],[Total_Sales]]</f>
        <v>0.33333333333333331</v>
      </c>
    </row>
    <row r="15" spans="1:17">
      <c r="A15" s="1">
        <v>45309</v>
      </c>
      <c r="B15" t="s">
        <v>194</v>
      </c>
      <c r="C15" t="s">
        <v>176</v>
      </c>
      <c r="D15" t="s">
        <v>63</v>
      </c>
      <c r="E15" t="s">
        <v>37</v>
      </c>
      <c r="F15" t="s">
        <v>15</v>
      </c>
      <c r="G15" t="s">
        <v>50</v>
      </c>
      <c r="H15">
        <v>33</v>
      </c>
      <c r="I15">
        <v>2.9</v>
      </c>
      <c r="J15">
        <f>+tbl_sales_clean[[#This Row],[Quantity_Sold]]*tbl_sales_clean[[#This Row],[Unit_Price]]</f>
        <v>95.7</v>
      </c>
      <c r="K15">
        <v>60</v>
      </c>
      <c r="L15">
        <f>+tbl_sales_clean[[#This Row],[Total_Sales]]-tbl_sales_clean[[#This Row],[Production_Cost]]</f>
        <v>35.700000000000003</v>
      </c>
      <c r="M15">
        <v>150</v>
      </c>
      <c r="N15">
        <v>60</v>
      </c>
      <c r="O15" s="8" t="str">
        <f t="shared" si="1"/>
        <v>In Stock</v>
      </c>
      <c r="P15" s="8" t="str">
        <f t="shared" si="0"/>
        <v>PASS</v>
      </c>
      <c r="Q15">
        <f>tbl_sales_clean[[#This Row],[Profit]]/tbl_sales_clean[[#This Row],[Total_Sales]]</f>
        <v>0.37304075235109718</v>
      </c>
    </row>
    <row r="16" spans="1:17">
      <c r="A16" s="1">
        <v>45312</v>
      </c>
      <c r="B16" t="s">
        <v>195</v>
      </c>
      <c r="C16" t="s">
        <v>177</v>
      </c>
      <c r="D16" t="s">
        <v>65</v>
      </c>
      <c r="E16" t="s">
        <v>48</v>
      </c>
      <c r="F16" t="s">
        <v>16</v>
      </c>
      <c r="G16" t="s">
        <v>55</v>
      </c>
      <c r="H16">
        <v>42</v>
      </c>
      <c r="I16">
        <v>6</v>
      </c>
      <c r="J16">
        <f>+tbl_sales_clean[[#This Row],[Quantity_Sold]]*tbl_sales_clean[[#This Row],[Unit_Price]]</f>
        <v>252</v>
      </c>
      <c r="K16">
        <v>155</v>
      </c>
      <c r="L16">
        <f>+tbl_sales_clean[[#This Row],[Total_Sales]]-tbl_sales_clean[[#This Row],[Production_Cost]]</f>
        <v>97</v>
      </c>
      <c r="M16">
        <v>28</v>
      </c>
      <c r="N16">
        <v>35</v>
      </c>
      <c r="O16" s="8" t="str">
        <f t="shared" si="1"/>
        <v>Low Stock</v>
      </c>
      <c r="P16" s="8" t="str">
        <f t="shared" si="0"/>
        <v>PASS</v>
      </c>
      <c r="Q16">
        <f>tbl_sales_clean[[#This Row],[Profit]]/tbl_sales_clean[[#This Row],[Total_Sales]]</f>
        <v>0.38492063492063494</v>
      </c>
    </row>
    <row r="17" spans="1:17">
      <c r="A17" s="1">
        <v>45296</v>
      </c>
      <c r="B17" t="s">
        <v>35</v>
      </c>
      <c r="C17" t="s">
        <v>178</v>
      </c>
      <c r="D17" t="s">
        <v>67</v>
      </c>
      <c r="E17" t="s">
        <v>43</v>
      </c>
      <c r="F17" t="s">
        <v>36</v>
      </c>
      <c r="G17" t="s">
        <v>40</v>
      </c>
      <c r="H17">
        <v>3</v>
      </c>
      <c r="I17">
        <v>950</v>
      </c>
      <c r="J17">
        <v>2850</v>
      </c>
      <c r="K17">
        <v>2100</v>
      </c>
      <c r="L17">
        <v>750</v>
      </c>
      <c r="M17">
        <v>18</v>
      </c>
      <c r="N17">
        <v>5</v>
      </c>
      <c r="O17" s="8" t="str">
        <f t="shared" si="1"/>
        <v>In Stock</v>
      </c>
      <c r="P17" s="8" t="str">
        <f t="shared" si="0"/>
        <v>PASS</v>
      </c>
      <c r="Q17">
        <f>tbl_sales_clean[[#This Row],[Profit]]/tbl_sales_clean[[#This Row],[Total_Sales]]</f>
        <v>0.26315789473684209</v>
      </c>
    </row>
    <row r="18" spans="1:17">
      <c r="A18" s="1">
        <v>45298</v>
      </c>
      <c r="B18" t="s">
        <v>41</v>
      </c>
      <c r="C18" t="s">
        <v>176</v>
      </c>
      <c r="D18" t="s">
        <v>69</v>
      </c>
      <c r="E18" t="s">
        <v>43</v>
      </c>
      <c r="F18" t="s">
        <v>42</v>
      </c>
      <c r="G18" t="s">
        <v>45</v>
      </c>
      <c r="H18">
        <v>25</v>
      </c>
      <c r="I18">
        <v>12</v>
      </c>
      <c r="J18">
        <v>300</v>
      </c>
      <c r="K18">
        <v>175</v>
      </c>
      <c r="L18">
        <v>125</v>
      </c>
      <c r="M18">
        <v>120</v>
      </c>
      <c r="N18">
        <v>40</v>
      </c>
      <c r="O18" s="8" t="str">
        <f t="shared" si="1"/>
        <v>In Stock</v>
      </c>
      <c r="P18" s="8" t="str">
        <f t="shared" si="0"/>
        <v>PASS</v>
      </c>
      <c r="Q18">
        <f>tbl_sales_clean[[#This Row],[Profit]]/tbl_sales_clean[[#This Row],[Total_Sales]]</f>
        <v>0.41666666666666669</v>
      </c>
    </row>
    <row r="19" spans="1:17">
      <c r="A19" s="1">
        <v>45300</v>
      </c>
      <c r="B19" t="s">
        <v>46</v>
      </c>
      <c r="C19" t="s">
        <v>177</v>
      </c>
      <c r="D19" t="s">
        <v>71</v>
      </c>
      <c r="E19" t="s">
        <v>48</v>
      </c>
      <c r="F19" t="s">
        <v>47</v>
      </c>
      <c r="G19" t="s">
        <v>50</v>
      </c>
      <c r="H19">
        <v>5</v>
      </c>
      <c r="I19">
        <v>180</v>
      </c>
      <c r="J19">
        <v>900</v>
      </c>
      <c r="K19">
        <v>550</v>
      </c>
      <c r="L19">
        <v>350</v>
      </c>
      <c r="M19">
        <v>8</v>
      </c>
      <c r="N19">
        <v>10</v>
      </c>
      <c r="O19" s="8" t="str">
        <f t="shared" si="1"/>
        <v>Low Stock</v>
      </c>
      <c r="P19" s="8" t="str">
        <f t="shared" si="0"/>
        <v>PASS</v>
      </c>
      <c r="Q19">
        <f>tbl_sales_clean[[#This Row],[Profit]]/tbl_sales_clean[[#This Row],[Total_Sales]]</f>
        <v>0.3888888888888889</v>
      </c>
    </row>
    <row r="20" spans="1:17">
      <c r="A20" s="1">
        <v>45303</v>
      </c>
      <c r="B20" t="s">
        <v>51</v>
      </c>
      <c r="C20" t="s">
        <v>178</v>
      </c>
      <c r="D20" t="s">
        <v>73</v>
      </c>
      <c r="E20" t="s">
        <v>53</v>
      </c>
      <c r="F20" t="s">
        <v>52</v>
      </c>
      <c r="G20" t="s">
        <v>55</v>
      </c>
      <c r="H20">
        <v>4</v>
      </c>
      <c r="I20">
        <v>260</v>
      </c>
      <c r="J20">
        <v>1040</v>
      </c>
      <c r="K20">
        <v>680</v>
      </c>
      <c r="L20">
        <v>360</v>
      </c>
      <c r="M20">
        <v>22</v>
      </c>
      <c r="N20">
        <v>8</v>
      </c>
      <c r="O20" s="8" t="str">
        <f t="shared" si="1"/>
        <v>In Stock</v>
      </c>
      <c r="P20" s="8" t="str">
        <f t="shared" si="0"/>
        <v>PASS</v>
      </c>
      <c r="Q20">
        <f>tbl_sales_clean[[#This Row],[Profit]]/tbl_sales_clean[[#This Row],[Total_Sales]]</f>
        <v>0.34615384615384615</v>
      </c>
    </row>
    <row r="21" spans="1:17">
      <c r="A21" s="1">
        <v>45306</v>
      </c>
      <c r="B21" t="s">
        <v>56</v>
      </c>
      <c r="C21" t="s">
        <v>175</v>
      </c>
      <c r="D21" t="s">
        <v>75</v>
      </c>
      <c r="E21" t="s">
        <v>58</v>
      </c>
      <c r="F21" t="s">
        <v>57</v>
      </c>
      <c r="G21" t="s">
        <v>40</v>
      </c>
      <c r="H21">
        <v>40</v>
      </c>
      <c r="I21">
        <v>8</v>
      </c>
      <c r="J21">
        <v>320</v>
      </c>
      <c r="K21">
        <v>160</v>
      </c>
      <c r="L21">
        <v>160</v>
      </c>
      <c r="M21">
        <v>95</v>
      </c>
      <c r="N21">
        <v>30</v>
      </c>
      <c r="O21" s="8" t="str">
        <f t="shared" si="1"/>
        <v>In Stock</v>
      </c>
      <c r="P21" s="8" t="str">
        <f t="shared" si="0"/>
        <v>PASS</v>
      </c>
      <c r="Q21">
        <f>tbl_sales_clean[[#This Row],[Profit]]/tbl_sales_clean[[#This Row],[Total_Sales]]</f>
        <v>0.5</v>
      </c>
    </row>
    <row r="22" spans="1:17">
      <c r="A22" s="1">
        <v>45309</v>
      </c>
      <c r="B22" t="s">
        <v>60</v>
      </c>
      <c r="C22" t="s">
        <v>176</v>
      </c>
      <c r="D22" t="s">
        <v>61</v>
      </c>
      <c r="E22" t="s">
        <v>37</v>
      </c>
      <c r="F22" t="s">
        <v>36</v>
      </c>
      <c r="G22" t="s">
        <v>45</v>
      </c>
      <c r="H22">
        <v>6</v>
      </c>
      <c r="I22">
        <v>420</v>
      </c>
      <c r="J22">
        <v>2520</v>
      </c>
      <c r="K22">
        <v>1800</v>
      </c>
      <c r="L22">
        <v>720</v>
      </c>
      <c r="M22">
        <v>16</v>
      </c>
      <c r="N22">
        <v>6</v>
      </c>
      <c r="O22" s="8" t="str">
        <f t="shared" si="1"/>
        <v>In Stock</v>
      </c>
      <c r="P22" s="8" t="str">
        <f t="shared" si="0"/>
        <v>PASS</v>
      </c>
      <c r="Q22">
        <f>tbl_sales_clean[[#This Row],[Profit]]/tbl_sales_clean[[#This Row],[Total_Sales]]</f>
        <v>0.2857142857142857</v>
      </c>
    </row>
    <row r="23" spans="1:17">
      <c r="A23" s="1">
        <v>45312</v>
      </c>
      <c r="B23" t="s">
        <v>62</v>
      </c>
      <c r="C23" t="s">
        <v>177</v>
      </c>
      <c r="D23" t="s">
        <v>63</v>
      </c>
      <c r="E23" t="s">
        <v>48</v>
      </c>
      <c r="F23" t="s">
        <v>42</v>
      </c>
      <c r="G23" t="s">
        <v>50</v>
      </c>
      <c r="H23">
        <v>2</v>
      </c>
      <c r="I23">
        <v>520</v>
      </c>
      <c r="J23">
        <v>1040</v>
      </c>
      <c r="K23">
        <v>700</v>
      </c>
      <c r="L23">
        <v>340</v>
      </c>
      <c r="M23">
        <v>4</v>
      </c>
      <c r="N23">
        <v>7</v>
      </c>
      <c r="O23" s="8" t="str">
        <f t="shared" si="1"/>
        <v>Low Stock</v>
      </c>
      <c r="P23" s="8" t="str">
        <f t="shared" si="0"/>
        <v>PASS</v>
      </c>
      <c r="Q23">
        <f>tbl_sales_clean[[#This Row],[Profit]]/tbl_sales_clean[[#This Row],[Total_Sales]]</f>
        <v>0.32692307692307693</v>
      </c>
    </row>
    <row r="24" spans="1:17">
      <c r="A24" s="1">
        <v>45315</v>
      </c>
      <c r="B24" t="s">
        <v>64</v>
      </c>
      <c r="C24" t="s">
        <v>178</v>
      </c>
      <c r="D24" t="s">
        <v>65</v>
      </c>
      <c r="E24" t="s">
        <v>43</v>
      </c>
      <c r="F24" t="s">
        <v>47</v>
      </c>
      <c r="G24" t="s">
        <v>55</v>
      </c>
      <c r="H24">
        <v>12</v>
      </c>
      <c r="I24">
        <v>35</v>
      </c>
      <c r="J24">
        <v>420</v>
      </c>
      <c r="K24">
        <v>240</v>
      </c>
      <c r="L24">
        <v>180</v>
      </c>
      <c r="M24">
        <v>55</v>
      </c>
      <c r="N24">
        <v>20</v>
      </c>
      <c r="O24" s="8" t="str">
        <f t="shared" si="1"/>
        <v>In Stock</v>
      </c>
      <c r="P24" s="8" t="str">
        <f t="shared" si="0"/>
        <v>PASS</v>
      </c>
      <c r="Q24">
        <f>tbl_sales_clean[[#This Row],[Profit]]/tbl_sales_clean[[#This Row],[Total_Sales]]</f>
        <v>0.42857142857142855</v>
      </c>
    </row>
    <row r="25" spans="1:17">
      <c r="A25" s="1">
        <v>45318</v>
      </c>
      <c r="B25" t="s">
        <v>66</v>
      </c>
      <c r="C25" t="s">
        <v>179</v>
      </c>
      <c r="D25" t="s">
        <v>67</v>
      </c>
      <c r="E25" t="s">
        <v>53</v>
      </c>
      <c r="F25" t="s">
        <v>52</v>
      </c>
      <c r="G25" t="s">
        <v>40</v>
      </c>
      <c r="H25">
        <v>15</v>
      </c>
      <c r="I25">
        <v>45</v>
      </c>
      <c r="J25">
        <v>675</v>
      </c>
      <c r="K25">
        <v>375</v>
      </c>
      <c r="L25">
        <v>300</v>
      </c>
      <c r="M25">
        <v>70</v>
      </c>
      <c r="N25">
        <v>25</v>
      </c>
      <c r="O25" s="8" t="str">
        <f t="shared" si="1"/>
        <v>In Stock</v>
      </c>
      <c r="P25" s="8" t="str">
        <f t="shared" si="0"/>
        <v>PASS</v>
      </c>
      <c r="Q25">
        <f>tbl_sales_clean[[#This Row],[Profit]]/tbl_sales_clean[[#This Row],[Total_Sales]]</f>
        <v>0.44444444444444442</v>
      </c>
    </row>
    <row r="26" spans="1:17">
      <c r="A26" s="1">
        <v>45321</v>
      </c>
      <c r="B26" t="s">
        <v>68</v>
      </c>
      <c r="C26" t="s">
        <v>180</v>
      </c>
      <c r="D26" t="s">
        <v>69</v>
      </c>
      <c r="E26" t="s">
        <v>58</v>
      </c>
      <c r="F26" t="s">
        <v>57</v>
      </c>
      <c r="G26" t="s">
        <v>45</v>
      </c>
      <c r="H26">
        <v>60</v>
      </c>
      <c r="I26">
        <v>3</v>
      </c>
      <c r="J26">
        <v>180</v>
      </c>
      <c r="K26">
        <v>90</v>
      </c>
      <c r="L26">
        <v>90</v>
      </c>
      <c r="M26">
        <v>25</v>
      </c>
      <c r="N26">
        <v>35</v>
      </c>
      <c r="O26" s="8" t="str">
        <f t="shared" si="1"/>
        <v>Low Stock</v>
      </c>
      <c r="P26" s="8" t="str">
        <f t="shared" si="0"/>
        <v>PASS</v>
      </c>
      <c r="Q26">
        <f>tbl_sales_clean[[#This Row],[Profit]]/tbl_sales_clean[[#This Row],[Total_Sales]]</f>
        <v>0.5</v>
      </c>
    </row>
    <row r="27" spans="1:17">
      <c r="A27" s="1">
        <v>45324</v>
      </c>
      <c r="B27" t="s">
        <v>70</v>
      </c>
      <c r="C27" t="s">
        <v>171</v>
      </c>
      <c r="D27" t="s">
        <v>71</v>
      </c>
      <c r="E27" t="s">
        <v>37</v>
      </c>
      <c r="F27" t="s">
        <v>36</v>
      </c>
      <c r="G27" t="s">
        <v>50</v>
      </c>
      <c r="H27">
        <v>7</v>
      </c>
      <c r="I27">
        <v>780</v>
      </c>
      <c r="J27">
        <v>5460</v>
      </c>
      <c r="K27">
        <v>3920</v>
      </c>
      <c r="L27">
        <v>1540</v>
      </c>
      <c r="M27">
        <v>21</v>
      </c>
      <c r="N27">
        <v>7</v>
      </c>
      <c r="O27" s="8" t="str">
        <f t="shared" si="1"/>
        <v>In Stock</v>
      </c>
      <c r="P27" s="8" t="str">
        <f t="shared" si="0"/>
        <v>PASS</v>
      </c>
      <c r="Q27">
        <f>tbl_sales_clean[[#This Row],[Profit]]/tbl_sales_clean[[#This Row],[Total_Sales]]</f>
        <v>0.28205128205128205</v>
      </c>
    </row>
    <row r="28" spans="1:17">
      <c r="A28" s="1">
        <v>45326</v>
      </c>
      <c r="B28" t="s">
        <v>72</v>
      </c>
      <c r="C28" t="s">
        <v>172</v>
      </c>
      <c r="D28" t="s">
        <v>73</v>
      </c>
      <c r="E28" t="s">
        <v>43</v>
      </c>
      <c r="F28" t="s">
        <v>42</v>
      </c>
      <c r="G28" t="s">
        <v>55</v>
      </c>
      <c r="H28">
        <v>30</v>
      </c>
      <c r="I28">
        <v>6</v>
      </c>
      <c r="J28">
        <v>180</v>
      </c>
      <c r="K28">
        <v>90</v>
      </c>
      <c r="L28">
        <v>90</v>
      </c>
      <c r="M28">
        <v>140</v>
      </c>
      <c r="N28">
        <v>50</v>
      </c>
      <c r="O28" s="8" t="str">
        <f t="shared" si="1"/>
        <v>In Stock</v>
      </c>
      <c r="P28" s="8" t="str">
        <f t="shared" si="0"/>
        <v>PASS</v>
      </c>
      <c r="Q28">
        <f>tbl_sales_clean[[#This Row],[Profit]]/tbl_sales_clean[[#This Row],[Total_Sales]]</f>
        <v>0.5</v>
      </c>
    </row>
    <row r="29" spans="1:17">
      <c r="A29" s="1">
        <v>45328</v>
      </c>
      <c r="B29" t="s">
        <v>74</v>
      </c>
      <c r="C29" t="s">
        <v>173</v>
      </c>
      <c r="D29" t="s">
        <v>75</v>
      </c>
      <c r="E29" t="s">
        <v>48</v>
      </c>
      <c r="F29" t="s">
        <v>47</v>
      </c>
      <c r="G29" t="s">
        <v>40</v>
      </c>
      <c r="H29">
        <v>3</v>
      </c>
      <c r="I29">
        <v>340</v>
      </c>
      <c r="J29">
        <v>1020</v>
      </c>
      <c r="K29">
        <v>660</v>
      </c>
      <c r="L29">
        <v>360</v>
      </c>
      <c r="M29">
        <v>17</v>
      </c>
      <c r="N29">
        <v>6</v>
      </c>
      <c r="O29" s="8" t="str">
        <f t="shared" si="1"/>
        <v>In Stock</v>
      </c>
      <c r="P29" s="8" t="str">
        <f t="shared" si="0"/>
        <v>PASS</v>
      </c>
      <c r="Q29">
        <f>tbl_sales_clean[[#This Row],[Profit]]/tbl_sales_clean[[#This Row],[Total_Sales]]</f>
        <v>0.35294117647058826</v>
      </c>
    </row>
    <row r="30" spans="1:17">
      <c r="A30" s="1">
        <v>45331</v>
      </c>
      <c r="B30" t="s">
        <v>76</v>
      </c>
      <c r="C30" t="s">
        <v>174</v>
      </c>
      <c r="D30" t="s">
        <v>77</v>
      </c>
      <c r="E30" t="s">
        <v>53</v>
      </c>
      <c r="F30" t="s">
        <v>52</v>
      </c>
      <c r="G30" t="s">
        <v>45</v>
      </c>
      <c r="H30">
        <v>20</v>
      </c>
      <c r="I30">
        <v>28</v>
      </c>
      <c r="J30">
        <v>560</v>
      </c>
      <c r="K30">
        <v>280</v>
      </c>
      <c r="L30">
        <v>280</v>
      </c>
      <c r="M30">
        <v>9</v>
      </c>
      <c r="N30">
        <v>15</v>
      </c>
      <c r="O30" s="8" t="str">
        <f t="shared" si="1"/>
        <v>Low Stock</v>
      </c>
      <c r="P30" s="8" t="str">
        <f t="shared" si="0"/>
        <v>PASS</v>
      </c>
      <c r="Q30">
        <f>tbl_sales_clean[[#This Row],[Profit]]/tbl_sales_clean[[#This Row],[Total_Sales]]</f>
        <v>0.5</v>
      </c>
    </row>
    <row r="31" spans="1:17">
      <c r="A31" s="1">
        <v>45334</v>
      </c>
      <c r="B31" t="s">
        <v>78</v>
      </c>
      <c r="C31" t="s">
        <v>175</v>
      </c>
      <c r="D31" t="s">
        <v>79</v>
      </c>
      <c r="E31" t="s">
        <v>58</v>
      </c>
      <c r="F31" t="s">
        <v>57</v>
      </c>
      <c r="G31" t="s">
        <v>50</v>
      </c>
      <c r="H31">
        <v>45</v>
      </c>
      <c r="I31">
        <v>5</v>
      </c>
      <c r="J31">
        <v>225</v>
      </c>
      <c r="K31">
        <v>90</v>
      </c>
      <c r="L31">
        <v>135</v>
      </c>
      <c r="M31">
        <v>200</v>
      </c>
      <c r="N31">
        <v>60</v>
      </c>
      <c r="O31" s="8" t="str">
        <f t="shared" si="1"/>
        <v>In Stock</v>
      </c>
      <c r="P31" s="8" t="str">
        <f t="shared" si="0"/>
        <v>PASS</v>
      </c>
      <c r="Q31">
        <f>tbl_sales_clean[[#This Row],[Profit]]/tbl_sales_clean[[#This Row],[Total_Sales]]</f>
        <v>0.6</v>
      </c>
    </row>
    <row r="32" spans="1:17">
      <c r="A32" s="1">
        <v>45337</v>
      </c>
      <c r="B32" t="s">
        <v>80</v>
      </c>
      <c r="C32" t="s">
        <v>176</v>
      </c>
      <c r="D32" t="s">
        <v>81</v>
      </c>
      <c r="E32" t="s">
        <v>37</v>
      </c>
      <c r="F32" t="s">
        <v>36</v>
      </c>
      <c r="G32" t="s">
        <v>55</v>
      </c>
      <c r="H32">
        <v>10</v>
      </c>
      <c r="I32">
        <v>85</v>
      </c>
      <c r="J32">
        <v>850</v>
      </c>
      <c r="K32">
        <v>450</v>
      </c>
      <c r="L32">
        <v>400</v>
      </c>
      <c r="M32">
        <v>34</v>
      </c>
      <c r="N32">
        <v>10</v>
      </c>
      <c r="O32" s="8" t="str">
        <f t="shared" si="1"/>
        <v>In Stock</v>
      </c>
      <c r="P32" s="8" t="str">
        <f t="shared" si="0"/>
        <v>PASS</v>
      </c>
      <c r="Q32">
        <f>tbl_sales_clean[[#This Row],[Profit]]/tbl_sales_clean[[#This Row],[Total_Sales]]</f>
        <v>0.47058823529411764</v>
      </c>
    </row>
    <row r="33" spans="1:17">
      <c r="A33" s="1">
        <v>45340</v>
      </c>
      <c r="B33" t="s">
        <v>82</v>
      </c>
      <c r="C33" t="s">
        <v>177</v>
      </c>
      <c r="D33" t="s">
        <v>83</v>
      </c>
      <c r="E33" t="s">
        <v>48</v>
      </c>
      <c r="F33" t="s">
        <v>42</v>
      </c>
      <c r="G33" t="s">
        <v>40</v>
      </c>
      <c r="H33">
        <v>4</v>
      </c>
      <c r="I33">
        <v>210</v>
      </c>
      <c r="J33">
        <v>840</v>
      </c>
      <c r="K33">
        <v>520</v>
      </c>
      <c r="L33">
        <v>320</v>
      </c>
      <c r="M33">
        <v>6</v>
      </c>
      <c r="N33">
        <v>8</v>
      </c>
      <c r="O33" s="8" t="str">
        <f t="shared" si="1"/>
        <v>Low Stock</v>
      </c>
      <c r="P33" s="8" t="str">
        <f t="shared" si="0"/>
        <v>PASS</v>
      </c>
      <c r="Q33">
        <f>tbl_sales_clean[[#This Row],[Profit]]/tbl_sales_clean[[#This Row],[Total_Sales]]</f>
        <v>0.38095238095238093</v>
      </c>
    </row>
    <row r="34" spans="1:17">
      <c r="A34" s="1">
        <v>45343</v>
      </c>
      <c r="B34" t="s">
        <v>84</v>
      </c>
      <c r="C34" t="s">
        <v>178</v>
      </c>
      <c r="D34" t="s">
        <v>85</v>
      </c>
      <c r="E34" t="s">
        <v>43</v>
      </c>
      <c r="F34" t="s">
        <v>47</v>
      </c>
      <c r="G34" t="s">
        <v>45</v>
      </c>
      <c r="H34">
        <v>18</v>
      </c>
      <c r="I34">
        <v>14</v>
      </c>
      <c r="J34">
        <v>252</v>
      </c>
      <c r="K34">
        <v>108</v>
      </c>
      <c r="L34">
        <v>144</v>
      </c>
      <c r="M34">
        <v>80</v>
      </c>
      <c r="N34">
        <v>25</v>
      </c>
      <c r="O34" s="8" t="str">
        <f t="shared" si="1"/>
        <v>In Stock</v>
      </c>
      <c r="P34" s="8" t="str">
        <f t="shared" ref="P34:P65" si="2">IF(O34=IF(M34&lt;N34,"Low Stock","In Stock"),"PASS","CHECK")</f>
        <v>PASS</v>
      </c>
      <c r="Q34">
        <f>tbl_sales_clean[[#This Row],[Profit]]/tbl_sales_clean[[#This Row],[Total_Sales]]</f>
        <v>0.5714285714285714</v>
      </c>
    </row>
    <row r="35" spans="1:17">
      <c r="A35" s="1">
        <v>45346</v>
      </c>
      <c r="B35" t="s">
        <v>86</v>
      </c>
      <c r="C35" t="s">
        <v>179</v>
      </c>
      <c r="D35" t="s">
        <v>87</v>
      </c>
      <c r="E35" t="s">
        <v>53</v>
      </c>
      <c r="F35" t="s">
        <v>52</v>
      </c>
      <c r="G35" t="s">
        <v>50</v>
      </c>
      <c r="H35">
        <v>9</v>
      </c>
      <c r="I35">
        <v>95</v>
      </c>
      <c r="J35">
        <v>855</v>
      </c>
      <c r="K35">
        <v>495</v>
      </c>
      <c r="L35">
        <v>360</v>
      </c>
      <c r="M35">
        <v>26</v>
      </c>
      <c r="N35">
        <v>8</v>
      </c>
      <c r="O35" s="8" t="str">
        <f t="shared" si="1"/>
        <v>In Stock</v>
      </c>
      <c r="P35" s="8" t="str">
        <f t="shared" si="2"/>
        <v>PASS</v>
      </c>
      <c r="Q35">
        <f>tbl_sales_clean[[#This Row],[Profit]]/tbl_sales_clean[[#This Row],[Total_Sales]]</f>
        <v>0.42105263157894735</v>
      </c>
    </row>
    <row r="36" spans="1:17">
      <c r="A36" s="1">
        <v>45349</v>
      </c>
      <c r="B36" t="s">
        <v>88</v>
      </c>
      <c r="C36" t="s">
        <v>180</v>
      </c>
      <c r="D36" t="s">
        <v>89</v>
      </c>
      <c r="E36" t="s">
        <v>58</v>
      </c>
      <c r="F36" t="s">
        <v>57</v>
      </c>
      <c r="G36" t="s">
        <v>55</v>
      </c>
      <c r="H36">
        <v>35</v>
      </c>
      <c r="I36">
        <v>7</v>
      </c>
      <c r="J36">
        <v>245</v>
      </c>
      <c r="K36">
        <v>105</v>
      </c>
      <c r="L36">
        <v>140</v>
      </c>
      <c r="M36">
        <v>110</v>
      </c>
      <c r="N36">
        <v>35</v>
      </c>
      <c r="O36" s="8" t="str">
        <f t="shared" si="1"/>
        <v>In Stock</v>
      </c>
      <c r="P36" s="8" t="str">
        <f t="shared" si="2"/>
        <v>PASS</v>
      </c>
      <c r="Q36">
        <f>tbl_sales_clean[[#This Row],[Profit]]/tbl_sales_clean[[#This Row],[Total_Sales]]</f>
        <v>0.5714285714285714</v>
      </c>
    </row>
    <row r="37" spans="1:17">
      <c r="A37" s="1">
        <v>45352</v>
      </c>
      <c r="B37" t="s">
        <v>90</v>
      </c>
      <c r="C37" t="s">
        <v>171</v>
      </c>
      <c r="D37" t="s">
        <v>38</v>
      </c>
      <c r="E37" t="s">
        <v>37</v>
      </c>
      <c r="F37" t="s">
        <v>36</v>
      </c>
      <c r="G37" t="s">
        <v>40</v>
      </c>
      <c r="H37">
        <v>2</v>
      </c>
      <c r="I37">
        <v>980</v>
      </c>
      <c r="J37">
        <v>1960</v>
      </c>
      <c r="K37">
        <v>1440</v>
      </c>
      <c r="L37">
        <v>520</v>
      </c>
      <c r="M37">
        <v>5</v>
      </c>
      <c r="N37">
        <v>6</v>
      </c>
      <c r="O37" s="8" t="str">
        <f t="shared" si="1"/>
        <v>Low Stock</v>
      </c>
      <c r="P37" s="8" t="str">
        <f t="shared" si="2"/>
        <v>PASS</v>
      </c>
      <c r="Q37">
        <f>tbl_sales_clean[[#This Row],[Profit]]/tbl_sales_clean[[#This Row],[Total_Sales]]</f>
        <v>0.26530612244897961</v>
      </c>
    </row>
    <row r="38" spans="1:17">
      <c r="A38" s="1">
        <v>45354</v>
      </c>
      <c r="B38" t="s">
        <v>91</v>
      </c>
      <c r="C38" t="s">
        <v>172</v>
      </c>
      <c r="D38" t="s">
        <v>44</v>
      </c>
      <c r="E38" t="s">
        <v>43</v>
      </c>
      <c r="F38" t="s">
        <v>42</v>
      </c>
      <c r="G38" t="s">
        <v>45</v>
      </c>
      <c r="H38">
        <v>40</v>
      </c>
      <c r="I38">
        <v>11</v>
      </c>
      <c r="J38">
        <v>440</v>
      </c>
      <c r="K38">
        <v>240</v>
      </c>
      <c r="L38">
        <v>200</v>
      </c>
      <c r="M38">
        <v>160</v>
      </c>
      <c r="N38">
        <v>40</v>
      </c>
      <c r="O38" s="8" t="str">
        <f t="shared" si="1"/>
        <v>In Stock</v>
      </c>
      <c r="P38" s="8" t="str">
        <f t="shared" si="2"/>
        <v>PASS</v>
      </c>
      <c r="Q38">
        <f>tbl_sales_clean[[#This Row],[Profit]]/tbl_sales_clean[[#This Row],[Total_Sales]]</f>
        <v>0.45454545454545453</v>
      </c>
    </row>
    <row r="39" spans="1:17">
      <c r="A39" s="1">
        <v>45357</v>
      </c>
      <c r="B39" t="s">
        <v>92</v>
      </c>
      <c r="C39" t="s">
        <v>173</v>
      </c>
      <c r="D39" t="s">
        <v>49</v>
      </c>
      <c r="E39" t="s">
        <v>48</v>
      </c>
      <c r="F39" t="s">
        <v>47</v>
      </c>
      <c r="G39" t="s">
        <v>50</v>
      </c>
      <c r="H39">
        <v>6</v>
      </c>
      <c r="I39">
        <v>175</v>
      </c>
      <c r="J39">
        <v>1050</v>
      </c>
      <c r="K39">
        <v>630</v>
      </c>
      <c r="L39">
        <v>420</v>
      </c>
      <c r="M39">
        <v>15</v>
      </c>
      <c r="N39">
        <v>10</v>
      </c>
      <c r="O39" s="8" t="str">
        <f t="shared" si="1"/>
        <v>In Stock</v>
      </c>
      <c r="P39" s="8" t="str">
        <f t="shared" si="2"/>
        <v>PASS</v>
      </c>
      <c r="Q39">
        <f>tbl_sales_clean[[#This Row],[Profit]]/tbl_sales_clean[[#This Row],[Total_Sales]]</f>
        <v>0.4</v>
      </c>
    </row>
    <row r="40" spans="1:17">
      <c r="A40" s="1">
        <v>45360</v>
      </c>
      <c r="B40" t="s">
        <v>93</v>
      </c>
      <c r="C40" t="s">
        <v>174</v>
      </c>
      <c r="D40" t="s">
        <v>54</v>
      </c>
      <c r="E40" t="s">
        <v>53</v>
      </c>
      <c r="F40" t="s">
        <v>52</v>
      </c>
      <c r="G40" t="s">
        <v>55</v>
      </c>
      <c r="H40">
        <v>5</v>
      </c>
      <c r="I40">
        <v>255</v>
      </c>
      <c r="J40">
        <v>1275</v>
      </c>
      <c r="K40">
        <v>825</v>
      </c>
      <c r="L40">
        <v>450</v>
      </c>
      <c r="M40">
        <v>24</v>
      </c>
      <c r="N40">
        <v>8</v>
      </c>
      <c r="O40" s="8" t="str">
        <f t="shared" si="1"/>
        <v>In Stock</v>
      </c>
      <c r="P40" s="8" t="str">
        <f t="shared" si="2"/>
        <v>PASS</v>
      </c>
      <c r="Q40">
        <f>tbl_sales_clean[[#This Row],[Profit]]/tbl_sales_clean[[#This Row],[Total_Sales]]</f>
        <v>0.35294117647058826</v>
      </c>
    </row>
    <row r="41" spans="1:17">
      <c r="A41" s="1">
        <v>45363</v>
      </c>
      <c r="B41" t="s">
        <v>94</v>
      </c>
      <c r="C41" t="s">
        <v>175</v>
      </c>
      <c r="D41" t="s">
        <v>95</v>
      </c>
      <c r="E41" t="s">
        <v>58</v>
      </c>
      <c r="F41" t="s">
        <v>57</v>
      </c>
      <c r="G41" t="s">
        <v>40</v>
      </c>
      <c r="H41">
        <v>28</v>
      </c>
      <c r="I41">
        <v>12</v>
      </c>
      <c r="J41">
        <v>336</v>
      </c>
      <c r="K41">
        <v>168</v>
      </c>
      <c r="L41">
        <v>168</v>
      </c>
      <c r="M41">
        <v>12</v>
      </c>
      <c r="N41">
        <v>20</v>
      </c>
      <c r="O41" s="8" t="str">
        <f t="shared" si="1"/>
        <v>Low Stock</v>
      </c>
      <c r="P41" s="8" t="str">
        <f t="shared" si="2"/>
        <v>PASS</v>
      </c>
      <c r="Q41">
        <f>tbl_sales_clean[[#This Row],[Profit]]/tbl_sales_clean[[#This Row],[Total_Sales]]</f>
        <v>0.5</v>
      </c>
    </row>
    <row r="42" spans="1:17">
      <c r="A42" s="1">
        <v>45366</v>
      </c>
      <c r="B42" t="s">
        <v>96</v>
      </c>
      <c r="C42" t="s">
        <v>176</v>
      </c>
      <c r="D42" t="s">
        <v>61</v>
      </c>
      <c r="E42" t="s">
        <v>37</v>
      </c>
      <c r="F42" t="s">
        <v>36</v>
      </c>
      <c r="G42" t="s">
        <v>45</v>
      </c>
      <c r="H42">
        <v>4</v>
      </c>
      <c r="I42">
        <v>430</v>
      </c>
      <c r="J42">
        <v>1720</v>
      </c>
      <c r="K42">
        <v>1240</v>
      </c>
      <c r="L42">
        <v>480</v>
      </c>
      <c r="M42">
        <v>19</v>
      </c>
      <c r="N42">
        <v>6</v>
      </c>
      <c r="O42" s="8" t="str">
        <f t="shared" si="1"/>
        <v>In Stock</v>
      </c>
      <c r="P42" s="8" t="str">
        <f t="shared" si="2"/>
        <v>PASS</v>
      </c>
      <c r="Q42">
        <f>tbl_sales_clean[[#This Row],[Profit]]/tbl_sales_clean[[#This Row],[Total_Sales]]</f>
        <v>0.27906976744186046</v>
      </c>
    </row>
    <row r="43" spans="1:17">
      <c r="A43" s="1">
        <v>45369</v>
      </c>
      <c r="B43" t="s">
        <v>97</v>
      </c>
      <c r="C43" t="s">
        <v>177</v>
      </c>
      <c r="D43" t="s">
        <v>63</v>
      </c>
      <c r="E43" t="s">
        <v>48</v>
      </c>
      <c r="F43" t="s">
        <v>42</v>
      </c>
      <c r="G43" t="s">
        <v>50</v>
      </c>
      <c r="H43">
        <v>3</v>
      </c>
      <c r="I43">
        <v>515</v>
      </c>
      <c r="J43">
        <v>1545</v>
      </c>
      <c r="K43">
        <v>1035</v>
      </c>
      <c r="L43">
        <v>510</v>
      </c>
      <c r="M43">
        <v>10</v>
      </c>
      <c r="N43">
        <v>7</v>
      </c>
      <c r="O43" s="8" t="str">
        <f t="shared" si="1"/>
        <v>In Stock</v>
      </c>
      <c r="P43" s="8" t="str">
        <f t="shared" si="2"/>
        <v>PASS</v>
      </c>
      <c r="Q43">
        <f>tbl_sales_clean[[#This Row],[Profit]]/tbl_sales_clean[[#This Row],[Total_Sales]]</f>
        <v>0.3300970873786408</v>
      </c>
    </row>
    <row r="44" spans="1:17">
      <c r="A44" s="1">
        <v>45372</v>
      </c>
      <c r="B44" t="s">
        <v>98</v>
      </c>
      <c r="C44" t="s">
        <v>178</v>
      </c>
      <c r="D44" t="s">
        <v>65</v>
      </c>
      <c r="E44" t="s">
        <v>43</v>
      </c>
      <c r="F44" t="s">
        <v>47</v>
      </c>
      <c r="G44" t="s">
        <v>55</v>
      </c>
      <c r="H44">
        <v>15</v>
      </c>
      <c r="I44">
        <v>36</v>
      </c>
      <c r="J44">
        <v>540</v>
      </c>
      <c r="K44">
        <v>315</v>
      </c>
      <c r="L44">
        <v>225</v>
      </c>
      <c r="M44">
        <v>18</v>
      </c>
      <c r="N44">
        <v>20</v>
      </c>
      <c r="O44" s="8" t="str">
        <f t="shared" si="1"/>
        <v>Low Stock</v>
      </c>
      <c r="P44" s="8" t="str">
        <f t="shared" si="2"/>
        <v>PASS</v>
      </c>
      <c r="Q44">
        <f>tbl_sales_clean[[#This Row],[Profit]]/tbl_sales_clean[[#This Row],[Total_Sales]]</f>
        <v>0.41666666666666669</v>
      </c>
    </row>
    <row r="45" spans="1:17">
      <c r="A45" s="1">
        <v>45375</v>
      </c>
      <c r="B45" t="s">
        <v>99</v>
      </c>
      <c r="C45" t="s">
        <v>179</v>
      </c>
      <c r="D45" t="s">
        <v>67</v>
      </c>
      <c r="E45" t="s">
        <v>53</v>
      </c>
      <c r="F45" t="s">
        <v>52</v>
      </c>
      <c r="G45" t="s">
        <v>40</v>
      </c>
      <c r="H45">
        <v>22</v>
      </c>
      <c r="I45">
        <v>42</v>
      </c>
      <c r="J45">
        <v>924</v>
      </c>
      <c r="K45">
        <v>528</v>
      </c>
      <c r="L45">
        <v>396</v>
      </c>
      <c r="M45">
        <v>85</v>
      </c>
      <c r="N45">
        <v>25</v>
      </c>
      <c r="O45" s="8" t="str">
        <f t="shared" si="1"/>
        <v>In Stock</v>
      </c>
      <c r="P45" s="8" t="str">
        <f t="shared" si="2"/>
        <v>PASS</v>
      </c>
      <c r="Q45">
        <f>tbl_sales_clean[[#This Row],[Profit]]/tbl_sales_clean[[#This Row],[Total_Sales]]</f>
        <v>0.42857142857142855</v>
      </c>
    </row>
    <row r="46" spans="1:17">
      <c r="A46" s="1">
        <v>45378</v>
      </c>
      <c r="B46" t="s">
        <v>100</v>
      </c>
      <c r="C46" t="s">
        <v>180</v>
      </c>
      <c r="D46" t="s">
        <v>69</v>
      </c>
      <c r="E46" t="s">
        <v>58</v>
      </c>
      <c r="F46" t="s">
        <v>57</v>
      </c>
      <c r="G46" t="s">
        <v>45</v>
      </c>
      <c r="H46">
        <v>80</v>
      </c>
      <c r="I46">
        <v>3.2</v>
      </c>
      <c r="J46">
        <v>256</v>
      </c>
      <c r="K46">
        <v>128</v>
      </c>
      <c r="L46">
        <v>128</v>
      </c>
      <c r="M46">
        <v>140</v>
      </c>
      <c r="N46">
        <v>35</v>
      </c>
      <c r="O46" s="8" t="str">
        <f t="shared" si="1"/>
        <v>In Stock</v>
      </c>
      <c r="P46" s="8" t="str">
        <f t="shared" si="2"/>
        <v>PASS</v>
      </c>
      <c r="Q46">
        <f>tbl_sales_clean[[#This Row],[Profit]]/tbl_sales_clean[[#This Row],[Total_Sales]]</f>
        <v>0.5</v>
      </c>
    </row>
    <row r="47" spans="1:17">
      <c r="A47" s="1">
        <v>45384</v>
      </c>
      <c r="B47" t="s">
        <v>101</v>
      </c>
      <c r="C47" t="s">
        <v>171</v>
      </c>
      <c r="D47" t="s">
        <v>71</v>
      </c>
      <c r="E47" t="s">
        <v>37</v>
      </c>
      <c r="F47" t="s">
        <v>36</v>
      </c>
      <c r="G47" t="s">
        <v>50</v>
      </c>
      <c r="H47">
        <v>5</v>
      </c>
      <c r="I47">
        <v>790</v>
      </c>
      <c r="J47">
        <v>3950</v>
      </c>
      <c r="K47">
        <v>2850</v>
      </c>
      <c r="L47">
        <v>1100</v>
      </c>
      <c r="M47">
        <v>15</v>
      </c>
      <c r="N47">
        <v>7</v>
      </c>
      <c r="O47" s="8" t="str">
        <f t="shared" si="1"/>
        <v>In Stock</v>
      </c>
      <c r="P47" s="8" t="str">
        <f t="shared" si="2"/>
        <v>PASS</v>
      </c>
      <c r="Q47">
        <f>tbl_sales_clean[[#This Row],[Profit]]/tbl_sales_clean[[#This Row],[Total_Sales]]</f>
        <v>0.27848101265822783</v>
      </c>
    </row>
    <row r="48" spans="1:17">
      <c r="A48" s="1">
        <v>45386</v>
      </c>
      <c r="B48" t="s">
        <v>102</v>
      </c>
      <c r="C48" t="s">
        <v>172</v>
      </c>
      <c r="D48" t="s">
        <v>73</v>
      </c>
      <c r="E48" t="s">
        <v>43</v>
      </c>
      <c r="F48" t="s">
        <v>42</v>
      </c>
      <c r="G48" t="s">
        <v>55</v>
      </c>
      <c r="H48">
        <v>50</v>
      </c>
      <c r="I48">
        <v>5.5</v>
      </c>
      <c r="J48">
        <v>275</v>
      </c>
      <c r="K48">
        <v>140</v>
      </c>
      <c r="L48">
        <v>135</v>
      </c>
      <c r="M48">
        <v>180</v>
      </c>
      <c r="N48">
        <v>50</v>
      </c>
      <c r="O48" s="8" t="str">
        <f t="shared" si="1"/>
        <v>In Stock</v>
      </c>
      <c r="P48" s="8" t="str">
        <f t="shared" si="2"/>
        <v>PASS</v>
      </c>
      <c r="Q48">
        <f>tbl_sales_clean[[#This Row],[Profit]]/tbl_sales_clean[[#This Row],[Total_Sales]]</f>
        <v>0.49090909090909091</v>
      </c>
    </row>
    <row r="49" spans="1:17">
      <c r="A49" s="1">
        <v>45389</v>
      </c>
      <c r="B49" t="s">
        <v>103</v>
      </c>
      <c r="C49" t="s">
        <v>173</v>
      </c>
      <c r="D49" t="s">
        <v>75</v>
      </c>
      <c r="E49" t="s">
        <v>48</v>
      </c>
      <c r="F49" t="s">
        <v>47</v>
      </c>
      <c r="G49" t="s">
        <v>40</v>
      </c>
      <c r="H49">
        <v>4</v>
      </c>
      <c r="I49">
        <v>350</v>
      </c>
      <c r="J49">
        <v>1400</v>
      </c>
      <c r="K49">
        <v>920</v>
      </c>
      <c r="L49">
        <v>480</v>
      </c>
      <c r="M49">
        <v>5</v>
      </c>
      <c r="N49">
        <v>6</v>
      </c>
      <c r="O49" s="8" t="str">
        <f t="shared" si="1"/>
        <v>Low Stock</v>
      </c>
      <c r="P49" s="8" t="str">
        <f t="shared" si="2"/>
        <v>PASS</v>
      </c>
      <c r="Q49">
        <f>tbl_sales_clean[[#This Row],[Profit]]/tbl_sales_clean[[#This Row],[Total_Sales]]</f>
        <v>0.34285714285714286</v>
      </c>
    </row>
    <row r="50" spans="1:17">
      <c r="A50" s="1">
        <v>45392</v>
      </c>
      <c r="B50" t="s">
        <v>104</v>
      </c>
      <c r="C50" t="s">
        <v>174</v>
      </c>
      <c r="D50" t="s">
        <v>77</v>
      </c>
      <c r="E50" t="s">
        <v>53</v>
      </c>
      <c r="F50" t="s">
        <v>52</v>
      </c>
      <c r="G50" t="s">
        <v>45</v>
      </c>
      <c r="H50">
        <v>30</v>
      </c>
      <c r="I50">
        <v>27</v>
      </c>
      <c r="J50">
        <v>810</v>
      </c>
      <c r="K50">
        <v>390</v>
      </c>
      <c r="L50">
        <v>420</v>
      </c>
      <c r="M50">
        <v>45</v>
      </c>
      <c r="N50">
        <v>15</v>
      </c>
      <c r="O50" s="8" t="str">
        <f t="shared" si="1"/>
        <v>In Stock</v>
      </c>
      <c r="P50" s="8" t="str">
        <f t="shared" si="2"/>
        <v>PASS</v>
      </c>
      <c r="Q50">
        <f>tbl_sales_clean[[#This Row],[Profit]]/tbl_sales_clean[[#This Row],[Total_Sales]]</f>
        <v>0.51851851851851849</v>
      </c>
    </row>
    <row r="51" spans="1:17">
      <c r="A51" s="1">
        <v>45395</v>
      </c>
      <c r="B51" t="s">
        <v>105</v>
      </c>
      <c r="C51" t="s">
        <v>175</v>
      </c>
      <c r="D51" t="s">
        <v>79</v>
      </c>
      <c r="E51" t="s">
        <v>58</v>
      </c>
      <c r="F51" t="s">
        <v>57</v>
      </c>
      <c r="G51" t="s">
        <v>50</v>
      </c>
      <c r="H51">
        <v>70</v>
      </c>
      <c r="I51">
        <v>4.8</v>
      </c>
      <c r="J51">
        <v>336</v>
      </c>
      <c r="K51">
        <v>147</v>
      </c>
      <c r="L51">
        <v>189</v>
      </c>
      <c r="M51">
        <v>170</v>
      </c>
      <c r="N51">
        <v>60</v>
      </c>
      <c r="O51" s="8" t="str">
        <f t="shared" si="1"/>
        <v>In Stock</v>
      </c>
      <c r="P51" s="8" t="str">
        <f t="shared" si="2"/>
        <v>PASS</v>
      </c>
      <c r="Q51">
        <f>tbl_sales_clean[[#This Row],[Profit]]/tbl_sales_clean[[#This Row],[Total_Sales]]</f>
        <v>0.5625</v>
      </c>
    </row>
    <row r="52" spans="1:17">
      <c r="A52" s="1">
        <v>45398</v>
      </c>
      <c r="B52" t="s">
        <v>106</v>
      </c>
      <c r="C52" t="s">
        <v>176</v>
      </c>
      <c r="D52" t="s">
        <v>81</v>
      </c>
      <c r="E52" t="s">
        <v>37</v>
      </c>
      <c r="F52" t="s">
        <v>36</v>
      </c>
      <c r="G52" t="s">
        <v>55</v>
      </c>
      <c r="H52">
        <v>14</v>
      </c>
      <c r="I52">
        <v>88</v>
      </c>
      <c r="J52">
        <v>1232</v>
      </c>
      <c r="K52">
        <v>672</v>
      </c>
      <c r="L52">
        <v>560</v>
      </c>
      <c r="M52">
        <v>8</v>
      </c>
      <c r="N52">
        <v>10</v>
      </c>
      <c r="O52" s="8" t="str">
        <f t="shared" si="1"/>
        <v>Low Stock</v>
      </c>
      <c r="P52" s="8" t="str">
        <f t="shared" si="2"/>
        <v>PASS</v>
      </c>
      <c r="Q52">
        <f>tbl_sales_clean[[#This Row],[Profit]]/tbl_sales_clean[[#This Row],[Total_Sales]]</f>
        <v>0.45454545454545453</v>
      </c>
    </row>
    <row r="53" spans="1:17">
      <c r="A53" s="1">
        <v>45401</v>
      </c>
      <c r="B53" t="s">
        <v>107</v>
      </c>
      <c r="C53" t="s">
        <v>177</v>
      </c>
      <c r="D53" t="s">
        <v>83</v>
      </c>
      <c r="E53" t="s">
        <v>48</v>
      </c>
      <c r="F53" t="s">
        <v>42</v>
      </c>
      <c r="G53" t="s">
        <v>40</v>
      </c>
      <c r="H53">
        <v>5</v>
      </c>
      <c r="I53">
        <v>215</v>
      </c>
      <c r="J53">
        <v>1075</v>
      </c>
      <c r="K53">
        <v>675</v>
      </c>
      <c r="L53">
        <v>400</v>
      </c>
      <c r="M53">
        <v>18</v>
      </c>
      <c r="N53">
        <v>8</v>
      </c>
      <c r="O53" s="8" t="str">
        <f t="shared" si="1"/>
        <v>In Stock</v>
      </c>
      <c r="P53" s="8" t="str">
        <f t="shared" si="2"/>
        <v>PASS</v>
      </c>
      <c r="Q53">
        <f>tbl_sales_clean[[#This Row],[Profit]]/tbl_sales_clean[[#This Row],[Total_Sales]]</f>
        <v>0.37209302325581395</v>
      </c>
    </row>
    <row r="54" spans="1:17">
      <c r="A54" s="1">
        <v>45404</v>
      </c>
      <c r="B54" t="s">
        <v>108</v>
      </c>
      <c r="C54" t="s">
        <v>178</v>
      </c>
      <c r="D54" t="s">
        <v>85</v>
      </c>
      <c r="E54" t="s">
        <v>43</v>
      </c>
      <c r="F54" t="s">
        <v>47</v>
      </c>
      <c r="G54" t="s">
        <v>45</v>
      </c>
      <c r="H54">
        <v>25</v>
      </c>
      <c r="I54">
        <v>13</v>
      </c>
      <c r="J54">
        <v>325</v>
      </c>
      <c r="K54">
        <v>150</v>
      </c>
      <c r="L54">
        <v>175</v>
      </c>
      <c r="M54">
        <v>90</v>
      </c>
      <c r="N54">
        <v>25</v>
      </c>
      <c r="O54" s="8" t="str">
        <f t="shared" si="1"/>
        <v>In Stock</v>
      </c>
      <c r="P54" s="8" t="str">
        <f t="shared" si="2"/>
        <v>PASS</v>
      </c>
      <c r="Q54">
        <f>tbl_sales_clean[[#This Row],[Profit]]/tbl_sales_clean[[#This Row],[Total_Sales]]</f>
        <v>0.53846153846153844</v>
      </c>
    </row>
    <row r="55" spans="1:17">
      <c r="A55" s="1">
        <v>45407</v>
      </c>
      <c r="B55" t="s">
        <v>109</v>
      </c>
      <c r="C55" t="s">
        <v>179</v>
      </c>
      <c r="D55" t="s">
        <v>87</v>
      </c>
      <c r="E55" t="s">
        <v>53</v>
      </c>
      <c r="F55" t="s">
        <v>52</v>
      </c>
      <c r="G55" t="s">
        <v>50</v>
      </c>
      <c r="H55">
        <v>11</v>
      </c>
      <c r="I55">
        <v>98</v>
      </c>
      <c r="J55">
        <v>1078</v>
      </c>
      <c r="K55">
        <v>638</v>
      </c>
      <c r="L55">
        <v>440</v>
      </c>
      <c r="M55">
        <v>30</v>
      </c>
      <c r="N55">
        <v>8</v>
      </c>
      <c r="O55" s="8" t="str">
        <f t="shared" si="1"/>
        <v>In Stock</v>
      </c>
      <c r="P55" s="8" t="str">
        <f t="shared" si="2"/>
        <v>PASS</v>
      </c>
      <c r="Q55">
        <f>tbl_sales_clean[[#This Row],[Profit]]/tbl_sales_clean[[#This Row],[Total_Sales]]</f>
        <v>0.40816326530612246</v>
      </c>
    </row>
    <row r="56" spans="1:17">
      <c r="A56" s="1">
        <v>45410</v>
      </c>
      <c r="B56" t="s">
        <v>110</v>
      </c>
      <c r="C56" t="s">
        <v>180</v>
      </c>
      <c r="D56" t="s">
        <v>89</v>
      </c>
      <c r="E56" t="s">
        <v>58</v>
      </c>
      <c r="F56" t="s">
        <v>57</v>
      </c>
      <c r="G56" t="s">
        <v>55</v>
      </c>
      <c r="H56">
        <v>42</v>
      </c>
      <c r="I56">
        <v>7.5</v>
      </c>
      <c r="J56">
        <v>315</v>
      </c>
      <c r="K56">
        <v>134.4</v>
      </c>
      <c r="L56">
        <v>180.6</v>
      </c>
      <c r="M56">
        <v>20</v>
      </c>
      <c r="N56">
        <v>35</v>
      </c>
      <c r="O56" s="8" t="str">
        <f t="shared" si="1"/>
        <v>Low Stock</v>
      </c>
      <c r="P56" s="8" t="str">
        <f t="shared" si="2"/>
        <v>PASS</v>
      </c>
      <c r="Q56">
        <f>tbl_sales_clean[[#This Row],[Profit]]/tbl_sales_clean[[#This Row],[Total_Sales]]</f>
        <v>0.57333333333333336</v>
      </c>
    </row>
    <row r="57" spans="1:17">
      <c r="A57" s="1">
        <v>45413</v>
      </c>
      <c r="B57" t="s">
        <v>111</v>
      </c>
      <c r="C57" t="s">
        <v>171</v>
      </c>
      <c r="D57" t="s">
        <v>38</v>
      </c>
      <c r="E57" t="s">
        <v>37</v>
      </c>
      <c r="F57" t="s">
        <v>36</v>
      </c>
      <c r="G57" t="s">
        <v>40</v>
      </c>
      <c r="H57">
        <v>4</v>
      </c>
      <c r="I57">
        <v>970</v>
      </c>
      <c r="J57">
        <v>3880</v>
      </c>
      <c r="K57">
        <v>2840</v>
      </c>
      <c r="L57">
        <v>1040</v>
      </c>
      <c r="M57">
        <v>20</v>
      </c>
      <c r="N57">
        <v>5</v>
      </c>
      <c r="O57" s="8" t="str">
        <f t="shared" si="1"/>
        <v>In Stock</v>
      </c>
      <c r="P57" s="8" t="str">
        <f t="shared" si="2"/>
        <v>PASS</v>
      </c>
      <c r="Q57">
        <f>tbl_sales_clean[[#This Row],[Profit]]/tbl_sales_clean[[#This Row],[Total_Sales]]</f>
        <v>0.26804123711340205</v>
      </c>
    </row>
    <row r="58" spans="1:17">
      <c r="A58" s="1">
        <v>45416</v>
      </c>
      <c r="B58" t="s">
        <v>112</v>
      </c>
      <c r="C58" t="s">
        <v>172</v>
      </c>
      <c r="D58" t="s">
        <v>44</v>
      </c>
      <c r="E58" t="s">
        <v>43</v>
      </c>
      <c r="F58" t="s">
        <v>42</v>
      </c>
      <c r="G58" t="s">
        <v>45</v>
      </c>
      <c r="H58">
        <v>55</v>
      </c>
      <c r="I58">
        <v>12</v>
      </c>
      <c r="J58">
        <v>660</v>
      </c>
      <c r="K58">
        <v>385</v>
      </c>
      <c r="L58">
        <v>275</v>
      </c>
      <c r="M58">
        <v>130</v>
      </c>
      <c r="N58">
        <v>40</v>
      </c>
      <c r="O58" s="8" t="str">
        <f t="shared" si="1"/>
        <v>In Stock</v>
      </c>
      <c r="P58" s="8" t="str">
        <f t="shared" si="2"/>
        <v>PASS</v>
      </c>
      <c r="Q58">
        <f>tbl_sales_clean[[#This Row],[Profit]]/tbl_sales_clean[[#This Row],[Total_Sales]]</f>
        <v>0.41666666666666669</v>
      </c>
    </row>
    <row r="59" spans="1:17">
      <c r="A59" s="1">
        <v>45419</v>
      </c>
      <c r="B59" t="s">
        <v>113</v>
      </c>
      <c r="C59" t="s">
        <v>173</v>
      </c>
      <c r="D59" t="s">
        <v>49</v>
      </c>
      <c r="E59" t="s">
        <v>48</v>
      </c>
      <c r="F59" t="s">
        <v>47</v>
      </c>
      <c r="G59" t="s">
        <v>50</v>
      </c>
      <c r="H59">
        <v>7</v>
      </c>
      <c r="I59">
        <v>185</v>
      </c>
      <c r="J59">
        <v>1295</v>
      </c>
      <c r="K59">
        <v>805</v>
      </c>
      <c r="L59">
        <v>490</v>
      </c>
      <c r="M59">
        <v>7</v>
      </c>
      <c r="N59">
        <v>10</v>
      </c>
      <c r="O59" s="8" t="str">
        <f t="shared" si="1"/>
        <v>Low Stock</v>
      </c>
      <c r="P59" s="8" t="str">
        <f t="shared" si="2"/>
        <v>PASS</v>
      </c>
      <c r="Q59">
        <f>tbl_sales_clean[[#This Row],[Profit]]/tbl_sales_clean[[#This Row],[Total_Sales]]</f>
        <v>0.3783783783783784</v>
      </c>
    </row>
    <row r="60" spans="1:17">
      <c r="A60" s="1">
        <v>45422</v>
      </c>
      <c r="B60" t="s">
        <v>114</v>
      </c>
      <c r="C60" t="s">
        <v>174</v>
      </c>
      <c r="D60" t="s">
        <v>54</v>
      </c>
      <c r="E60" t="s">
        <v>53</v>
      </c>
      <c r="F60" t="s">
        <v>52</v>
      </c>
      <c r="G60" t="s">
        <v>55</v>
      </c>
      <c r="H60">
        <v>6</v>
      </c>
      <c r="I60">
        <v>265</v>
      </c>
      <c r="J60">
        <v>1590</v>
      </c>
      <c r="K60">
        <v>1050</v>
      </c>
      <c r="L60">
        <v>540</v>
      </c>
      <c r="M60">
        <v>28</v>
      </c>
      <c r="N60">
        <v>8</v>
      </c>
      <c r="O60" s="8" t="str">
        <f t="shared" si="1"/>
        <v>In Stock</v>
      </c>
      <c r="P60" s="8" t="str">
        <f t="shared" si="2"/>
        <v>PASS</v>
      </c>
      <c r="Q60">
        <f>tbl_sales_clean[[#This Row],[Profit]]/tbl_sales_clean[[#This Row],[Total_Sales]]</f>
        <v>0.33962264150943394</v>
      </c>
    </row>
    <row r="61" spans="1:17">
      <c r="A61" s="1">
        <v>45425</v>
      </c>
      <c r="B61" t="s">
        <v>115</v>
      </c>
      <c r="C61" t="s">
        <v>175</v>
      </c>
      <c r="D61" t="s">
        <v>59</v>
      </c>
      <c r="E61" t="s">
        <v>58</v>
      </c>
      <c r="F61" t="s">
        <v>57</v>
      </c>
      <c r="G61" t="s">
        <v>40</v>
      </c>
      <c r="H61">
        <v>65</v>
      </c>
      <c r="I61">
        <v>8.5</v>
      </c>
      <c r="J61">
        <v>552.5</v>
      </c>
      <c r="K61">
        <v>273</v>
      </c>
      <c r="L61">
        <v>279.5</v>
      </c>
      <c r="M61">
        <v>105</v>
      </c>
      <c r="N61">
        <v>30</v>
      </c>
      <c r="O61" s="8" t="str">
        <f t="shared" si="1"/>
        <v>In Stock</v>
      </c>
      <c r="P61" s="8" t="str">
        <f t="shared" si="2"/>
        <v>PASS</v>
      </c>
      <c r="Q61">
        <f>tbl_sales_clean[[#This Row],[Profit]]/tbl_sales_clean[[#This Row],[Total_Sales]]</f>
        <v>0.50588235294117645</v>
      </c>
    </row>
    <row r="62" spans="1:17">
      <c r="A62" s="1">
        <v>45428</v>
      </c>
      <c r="B62" t="s">
        <v>116</v>
      </c>
      <c r="C62" t="s">
        <v>176</v>
      </c>
      <c r="D62" t="s">
        <v>61</v>
      </c>
      <c r="E62" t="s">
        <v>37</v>
      </c>
      <c r="F62" t="s">
        <v>36</v>
      </c>
      <c r="G62" t="s">
        <v>45</v>
      </c>
      <c r="H62">
        <v>8</v>
      </c>
      <c r="I62">
        <v>425</v>
      </c>
      <c r="J62">
        <v>3400</v>
      </c>
      <c r="K62">
        <v>2440</v>
      </c>
      <c r="L62">
        <v>960</v>
      </c>
      <c r="M62">
        <v>14</v>
      </c>
      <c r="N62">
        <v>6</v>
      </c>
      <c r="O62" s="8" t="str">
        <f t="shared" si="1"/>
        <v>In Stock</v>
      </c>
      <c r="P62" s="8" t="str">
        <f t="shared" si="2"/>
        <v>PASS</v>
      </c>
      <c r="Q62">
        <f>tbl_sales_clean[[#This Row],[Profit]]/tbl_sales_clean[[#This Row],[Total_Sales]]</f>
        <v>0.28235294117647058</v>
      </c>
    </row>
    <row r="63" spans="1:17">
      <c r="A63" s="1">
        <v>45431</v>
      </c>
      <c r="B63" t="s">
        <v>117</v>
      </c>
      <c r="C63" t="s">
        <v>177</v>
      </c>
      <c r="D63" t="s">
        <v>63</v>
      </c>
      <c r="E63" t="s">
        <v>48</v>
      </c>
      <c r="F63" t="s">
        <v>42</v>
      </c>
      <c r="G63" t="s">
        <v>50</v>
      </c>
      <c r="H63">
        <v>4</v>
      </c>
      <c r="I63">
        <v>525</v>
      </c>
      <c r="J63">
        <v>2100</v>
      </c>
      <c r="K63">
        <v>1420</v>
      </c>
      <c r="L63">
        <v>680</v>
      </c>
      <c r="M63">
        <v>6</v>
      </c>
      <c r="N63">
        <v>7</v>
      </c>
      <c r="O63" s="8" t="str">
        <f t="shared" si="1"/>
        <v>Low Stock</v>
      </c>
      <c r="P63" s="8" t="str">
        <f t="shared" si="2"/>
        <v>PASS</v>
      </c>
      <c r="Q63">
        <f>tbl_sales_clean[[#This Row],[Profit]]/tbl_sales_clean[[#This Row],[Total_Sales]]</f>
        <v>0.32380952380952382</v>
      </c>
    </row>
    <row r="64" spans="1:17">
      <c r="A64" s="1">
        <v>45434</v>
      </c>
      <c r="B64" t="s">
        <v>118</v>
      </c>
      <c r="C64" t="s">
        <v>178</v>
      </c>
      <c r="D64" t="s">
        <v>65</v>
      </c>
      <c r="E64" t="s">
        <v>43</v>
      </c>
      <c r="F64" t="s">
        <v>47</v>
      </c>
      <c r="G64" t="s">
        <v>55</v>
      </c>
      <c r="H64">
        <v>18</v>
      </c>
      <c r="I64">
        <v>37</v>
      </c>
      <c r="J64">
        <v>666</v>
      </c>
      <c r="K64">
        <v>396</v>
      </c>
      <c r="L64">
        <v>270</v>
      </c>
      <c r="M64">
        <v>44</v>
      </c>
      <c r="N64">
        <v>20</v>
      </c>
      <c r="O64" s="8" t="str">
        <f t="shared" si="1"/>
        <v>In Stock</v>
      </c>
      <c r="P64" s="8" t="str">
        <f t="shared" si="2"/>
        <v>PASS</v>
      </c>
      <c r="Q64">
        <f>tbl_sales_clean[[#This Row],[Profit]]/tbl_sales_clean[[#This Row],[Total_Sales]]</f>
        <v>0.40540540540540543</v>
      </c>
    </row>
    <row r="65" spans="1:17">
      <c r="A65" s="1">
        <v>45437</v>
      </c>
      <c r="B65" t="s">
        <v>119</v>
      </c>
      <c r="C65" t="s">
        <v>179</v>
      </c>
      <c r="D65" t="s">
        <v>67</v>
      </c>
      <c r="E65" t="s">
        <v>53</v>
      </c>
      <c r="F65" t="s">
        <v>52</v>
      </c>
      <c r="G65" t="s">
        <v>40</v>
      </c>
      <c r="H65">
        <v>25</v>
      </c>
      <c r="I65">
        <v>46</v>
      </c>
      <c r="J65">
        <v>1150</v>
      </c>
      <c r="K65">
        <v>650</v>
      </c>
      <c r="L65">
        <v>500</v>
      </c>
      <c r="M65">
        <v>95</v>
      </c>
      <c r="N65">
        <v>25</v>
      </c>
      <c r="O65" s="8" t="str">
        <f t="shared" si="1"/>
        <v>In Stock</v>
      </c>
      <c r="P65" s="8" t="str">
        <f t="shared" si="2"/>
        <v>PASS</v>
      </c>
      <c r="Q65">
        <f>tbl_sales_clean[[#This Row],[Profit]]/tbl_sales_clean[[#This Row],[Total_Sales]]</f>
        <v>0.43478260869565216</v>
      </c>
    </row>
    <row r="66" spans="1:17">
      <c r="A66" s="1">
        <v>45440</v>
      </c>
      <c r="B66" t="s">
        <v>120</v>
      </c>
      <c r="C66" t="s">
        <v>180</v>
      </c>
      <c r="D66" t="s">
        <v>69</v>
      </c>
      <c r="E66" t="s">
        <v>58</v>
      </c>
      <c r="F66" t="s">
        <v>57</v>
      </c>
      <c r="G66" t="s">
        <v>45</v>
      </c>
      <c r="H66">
        <v>90</v>
      </c>
      <c r="I66">
        <v>3.1</v>
      </c>
      <c r="J66">
        <v>279</v>
      </c>
      <c r="K66">
        <v>135</v>
      </c>
      <c r="L66">
        <v>144</v>
      </c>
      <c r="M66">
        <v>150</v>
      </c>
      <c r="N66">
        <v>35</v>
      </c>
      <c r="O66" s="8" t="str">
        <f t="shared" si="1"/>
        <v>In Stock</v>
      </c>
      <c r="P66" s="8" t="str">
        <f t="shared" ref="P66:P97" si="3">IF(O66=IF(M66&lt;N66,"Low Stock","In Stock"),"PASS","CHECK")</f>
        <v>PASS</v>
      </c>
      <c r="Q66">
        <f>tbl_sales_clean[[#This Row],[Profit]]/tbl_sales_clean[[#This Row],[Total_Sales]]</f>
        <v>0.5161290322580645</v>
      </c>
    </row>
    <row r="67" spans="1:17">
      <c r="A67" s="1">
        <v>45445</v>
      </c>
      <c r="B67" t="s">
        <v>121</v>
      </c>
      <c r="C67" t="s">
        <v>171</v>
      </c>
      <c r="D67" t="s">
        <v>71</v>
      </c>
      <c r="E67" t="s">
        <v>37</v>
      </c>
      <c r="F67" t="s">
        <v>36</v>
      </c>
      <c r="G67" t="s">
        <v>50</v>
      </c>
      <c r="H67">
        <v>8</v>
      </c>
      <c r="I67">
        <v>795</v>
      </c>
      <c r="J67">
        <v>6360</v>
      </c>
      <c r="K67">
        <v>4600</v>
      </c>
      <c r="L67">
        <v>1760</v>
      </c>
      <c r="M67">
        <v>18</v>
      </c>
      <c r="N67">
        <v>7</v>
      </c>
      <c r="O67" s="8" t="str">
        <f t="shared" ref="O67:O116" si="4">IF(M67&lt;N67,"Low Stock","In Stock")</f>
        <v>In Stock</v>
      </c>
      <c r="P67" s="8" t="str">
        <f t="shared" si="3"/>
        <v>PASS</v>
      </c>
      <c r="Q67">
        <f>tbl_sales_clean[[#This Row],[Profit]]/tbl_sales_clean[[#This Row],[Total_Sales]]</f>
        <v>0.27672955974842767</v>
      </c>
    </row>
    <row r="68" spans="1:17">
      <c r="A68" s="1">
        <v>45448</v>
      </c>
      <c r="B68" t="s">
        <v>122</v>
      </c>
      <c r="C68" t="s">
        <v>172</v>
      </c>
      <c r="D68" t="s">
        <v>73</v>
      </c>
      <c r="E68" t="s">
        <v>43</v>
      </c>
      <c r="F68" t="s">
        <v>42</v>
      </c>
      <c r="G68" t="s">
        <v>55</v>
      </c>
      <c r="H68">
        <v>65</v>
      </c>
      <c r="I68">
        <v>5.8</v>
      </c>
      <c r="J68">
        <v>377</v>
      </c>
      <c r="K68">
        <v>195</v>
      </c>
      <c r="L68">
        <v>182</v>
      </c>
      <c r="M68">
        <v>40</v>
      </c>
      <c r="N68">
        <v>50</v>
      </c>
      <c r="O68" s="8" t="str">
        <f t="shared" si="4"/>
        <v>Low Stock</v>
      </c>
      <c r="P68" s="8" t="str">
        <f t="shared" si="3"/>
        <v>PASS</v>
      </c>
      <c r="Q68">
        <f>tbl_sales_clean[[#This Row],[Profit]]/tbl_sales_clean[[#This Row],[Total_Sales]]</f>
        <v>0.48275862068965519</v>
      </c>
    </row>
    <row r="69" spans="1:17">
      <c r="A69" s="1">
        <v>45451</v>
      </c>
      <c r="B69" t="s">
        <v>123</v>
      </c>
      <c r="C69" t="s">
        <v>173</v>
      </c>
      <c r="D69" t="s">
        <v>75</v>
      </c>
      <c r="E69" t="s">
        <v>48</v>
      </c>
      <c r="F69" t="s">
        <v>47</v>
      </c>
      <c r="G69" t="s">
        <v>40</v>
      </c>
      <c r="H69">
        <v>5</v>
      </c>
      <c r="I69">
        <v>345</v>
      </c>
      <c r="J69">
        <v>1725</v>
      </c>
      <c r="K69">
        <v>1125</v>
      </c>
      <c r="L69">
        <v>600</v>
      </c>
      <c r="M69">
        <v>16</v>
      </c>
      <c r="N69">
        <v>6</v>
      </c>
      <c r="O69" s="8" t="str">
        <f t="shared" si="4"/>
        <v>In Stock</v>
      </c>
      <c r="P69" s="8" t="str">
        <f t="shared" si="3"/>
        <v>PASS</v>
      </c>
      <c r="Q69">
        <f>tbl_sales_clean[[#This Row],[Profit]]/tbl_sales_clean[[#This Row],[Total_Sales]]</f>
        <v>0.34782608695652173</v>
      </c>
    </row>
    <row r="70" spans="1:17">
      <c r="A70" s="1">
        <v>45454</v>
      </c>
      <c r="B70" t="s">
        <v>124</v>
      </c>
      <c r="C70" t="s">
        <v>174</v>
      </c>
      <c r="D70" t="s">
        <v>77</v>
      </c>
      <c r="E70" t="s">
        <v>53</v>
      </c>
      <c r="F70" t="s">
        <v>52</v>
      </c>
      <c r="G70" t="s">
        <v>45</v>
      </c>
      <c r="H70">
        <v>35</v>
      </c>
      <c r="I70">
        <v>29</v>
      </c>
      <c r="J70">
        <v>1015</v>
      </c>
      <c r="K70">
        <v>525</v>
      </c>
      <c r="L70">
        <v>490</v>
      </c>
      <c r="M70">
        <v>65</v>
      </c>
      <c r="N70">
        <v>15</v>
      </c>
      <c r="O70" s="8" t="str">
        <f t="shared" si="4"/>
        <v>In Stock</v>
      </c>
      <c r="P70" s="8" t="str">
        <f t="shared" si="3"/>
        <v>PASS</v>
      </c>
      <c r="Q70">
        <f>tbl_sales_clean[[#This Row],[Profit]]/tbl_sales_clean[[#This Row],[Total_Sales]]</f>
        <v>0.48275862068965519</v>
      </c>
    </row>
    <row r="71" spans="1:17">
      <c r="A71" s="1">
        <v>45457</v>
      </c>
      <c r="B71" t="s">
        <v>125</v>
      </c>
      <c r="C71" t="s">
        <v>175</v>
      </c>
      <c r="D71" t="s">
        <v>79</v>
      </c>
      <c r="E71" t="s">
        <v>58</v>
      </c>
      <c r="F71" t="s">
        <v>57</v>
      </c>
      <c r="G71" t="s">
        <v>50</v>
      </c>
      <c r="H71">
        <v>80</v>
      </c>
      <c r="I71">
        <v>5.2</v>
      </c>
      <c r="J71">
        <v>416</v>
      </c>
      <c r="K71">
        <v>184</v>
      </c>
      <c r="L71">
        <v>232</v>
      </c>
      <c r="M71">
        <v>190</v>
      </c>
      <c r="N71">
        <v>60</v>
      </c>
      <c r="O71" s="8" t="str">
        <f t="shared" si="4"/>
        <v>In Stock</v>
      </c>
      <c r="P71" s="8" t="str">
        <f t="shared" si="3"/>
        <v>PASS</v>
      </c>
      <c r="Q71">
        <f>tbl_sales_clean[[#This Row],[Profit]]/tbl_sales_clean[[#This Row],[Total_Sales]]</f>
        <v>0.55769230769230771</v>
      </c>
    </row>
    <row r="72" spans="1:17">
      <c r="A72" s="1">
        <v>45460</v>
      </c>
      <c r="B72" t="s">
        <v>126</v>
      </c>
      <c r="C72" t="s">
        <v>176</v>
      </c>
      <c r="D72" t="s">
        <v>81</v>
      </c>
      <c r="E72" t="s">
        <v>37</v>
      </c>
      <c r="F72" t="s">
        <v>36</v>
      </c>
      <c r="G72" t="s">
        <v>55</v>
      </c>
      <c r="H72">
        <v>16</v>
      </c>
      <c r="I72">
        <v>90</v>
      </c>
      <c r="J72">
        <v>1440</v>
      </c>
      <c r="K72">
        <v>800</v>
      </c>
      <c r="L72">
        <v>640</v>
      </c>
      <c r="M72">
        <v>9</v>
      </c>
      <c r="N72">
        <v>10</v>
      </c>
      <c r="O72" s="8" t="str">
        <f t="shared" si="4"/>
        <v>Low Stock</v>
      </c>
      <c r="P72" s="8" t="str">
        <f t="shared" si="3"/>
        <v>PASS</v>
      </c>
      <c r="Q72">
        <f>tbl_sales_clean[[#This Row],[Profit]]/tbl_sales_clean[[#This Row],[Total_Sales]]</f>
        <v>0.44444444444444442</v>
      </c>
    </row>
    <row r="73" spans="1:17">
      <c r="A73" s="1">
        <v>45463</v>
      </c>
      <c r="B73" t="s">
        <v>127</v>
      </c>
      <c r="C73" t="s">
        <v>177</v>
      </c>
      <c r="D73" t="s">
        <v>83</v>
      </c>
      <c r="E73" t="s">
        <v>48</v>
      </c>
      <c r="F73" t="s">
        <v>42</v>
      </c>
      <c r="G73" t="s">
        <v>40</v>
      </c>
      <c r="H73">
        <v>6</v>
      </c>
      <c r="I73">
        <v>220</v>
      </c>
      <c r="J73">
        <v>1320</v>
      </c>
      <c r="K73">
        <v>840</v>
      </c>
      <c r="L73">
        <v>480</v>
      </c>
      <c r="M73">
        <v>22</v>
      </c>
      <c r="N73">
        <v>8</v>
      </c>
      <c r="O73" s="8" t="str">
        <f t="shared" si="4"/>
        <v>In Stock</v>
      </c>
      <c r="P73" s="8" t="str">
        <f t="shared" si="3"/>
        <v>PASS</v>
      </c>
      <c r="Q73">
        <f>tbl_sales_clean[[#This Row],[Profit]]/tbl_sales_clean[[#This Row],[Total_Sales]]</f>
        <v>0.36363636363636365</v>
      </c>
    </row>
    <row r="74" spans="1:17">
      <c r="A74" s="1">
        <v>45466</v>
      </c>
      <c r="B74" t="s">
        <v>128</v>
      </c>
      <c r="C74" t="s">
        <v>178</v>
      </c>
      <c r="D74" t="s">
        <v>85</v>
      </c>
      <c r="E74" t="s">
        <v>43</v>
      </c>
      <c r="F74" t="s">
        <v>47</v>
      </c>
      <c r="G74" t="s">
        <v>45</v>
      </c>
      <c r="H74">
        <v>32</v>
      </c>
      <c r="I74">
        <v>14.5</v>
      </c>
      <c r="J74">
        <v>464</v>
      </c>
      <c r="K74">
        <v>208</v>
      </c>
      <c r="L74">
        <v>256</v>
      </c>
      <c r="M74">
        <v>95</v>
      </c>
      <c r="N74">
        <v>25</v>
      </c>
      <c r="O74" s="8" t="str">
        <f t="shared" si="4"/>
        <v>In Stock</v>
      </c>
      <c r="P74" s="8" t="str">
        <f t="shared" si="3"/>
        <v>PASS</v>
      </c>
      <c r="Q74">
        <f>tbl_sales_clean[[#This Row],[Profit]]/tbl_sales_clean[[#This Row],[Total_Sales]]</f>
        <v>0.55172413793103448</v>
      </c>
    </row>
    <row r="75" spans="1:17">
      <c r="A75" s="1">
        <v>45469</v>
      </c>
      <c r="B75" t="s">
        <v>129</v>
      </c>
      <c r="C75" t="s">
        <v>179</v>
      </c>
      <c r="D75" t="s">
        <v>87</v>
      </c>
      <c r="E75" t="s">
        <v>53</v>
      </c>
      <c r="F75" t="s">
        <v>52</v>
      </c>
      <c r="G75" t="s">
        <v>50</v>
      </c>
      <c r="H75">
        <v>13</v>
      </c>
      <c r="I75">
        <v>100</v>
      </c>
      <c r="J75">
        <v>1300</v>
      </c>
      <c r="K75">
        <v>780</v>
      </c>
      <c r="L75">
        <v>520</v>
      </c>
      <c r="M75">
        <v>34</v>
      </c>
      <c r="N75">
        <v>8</v>
      </c>
      <c r="O75" s="8" t="str">
        <f t="shared" si="4"/>
        <v>In Stock</v>
      </c>
      <c r="P75" s="8" t="str">
        <f t="shared" si="3"/>
        <v>PASS</v>
      </c>
      <c r="Q75">
        <f>tbl_sales_clean[[#This Row],[Profit]]/tbl_sales_clean[[#This Row],[Total_Sales]]</f>
        <v>0.4</v>
      </c>
    </row>
    <row r="76" spans="1:17">
      <c r="A76" s="1">
        <v>45472</v>
      </c>
      <c r="B76" t="s">
        <v>130</v>
      </c>
      <c r="C76" t="s">
        <v>180</v>
      </c>
      <c r="D76" t="s">
        <v>89</v>
      </c>
      <c r="E76" t="s">
        <v>58</v>
      </c>
      <c r="F76" t="s">
        <v>57</v>
      </c>
      <c r="G76" t="s">
        <v>55</v>
      </c>
      <c r="H76">
        <v>50</v>
      </c>
      <c r="I76">
        <v>7.8</v>
      </c>
      <c r="J76">
        <v>390</v>
      </c>
      <c r="K76">
        <v>170</v>
      </c>
      <c r="L76">
        <v>220</v>
      </c>
      <c r="M76">
        <v>30</v>
      </c>
      <c r="N76">
        <v>35</v>
      </c>
      <c r="O76" s="8" t="str">
        <f t="shared" si="4"/>
        <v>Low Stock</v>
      </c>
      <c r="P76" s="8" t="str">
        <f t="shared" si="3"/>
        <v>PASS</v>
      </c>
      <c r="Q76">
        <f>tbl_sales_clean[[#This Row],[Profit]]/tbl_sales_clean[[#This Row],[Total_Sales]]</f>
        <v>0.5641025641025641</v>
      </c>
    </row>
    <row r="77" spans="1:17">
      <c r="A77" s="1">
        <v>45476</v>
      </c>
      <c r="B77" t="s">
        <v>131</v>
      </c>
      <c r="C77" t="s">
        <v>171</v>
      </c>
      <c r="D77" t="s">
        <v>38</v>
      </c>
      <c r="E77" t="s">
        <v>37</v>
      </c>
      <c r="F77" t="s">
        <v>36</v>
      </c>
      <c r="G77" t="s">
        <v>40</v>
      </c>
      <c r="H77">
        <v>5</v>
      </c>
      <c r="I77">
        <v>960</v>
      </c>
      <c r="J77">
        <v>4800</v>
      </c>
      <c r="K77">
        <v>3525</v>
      </c>
      <c r="L77">
        <v>1275</v>
      </c>
      <c r="M77">
        <v>19</v>
      </c>
      <c r="N77">
        <v>5</v>
      </c>
      <c r="O77" s="8" t="str">
        <f t="shared" si="4"/>
        <v>In Stock</v>
      </c>
      <c r="P77" s="8" t="str">
        <f t="shared" si="3"/>
        <v>PASS</v>
      </c>
      <c r="Q77">
        <f>tbl_sales_clean[[#This Row],[Profit]]/tbl_sales_clean[[#This Row],[Total_Sales]]</f>
        <v>0.265625</v>
      </c>
    </row>
    <row r="78" spans="1:17">
      <c r="A78" s="1">
        <v>45479</v>
      </c>
      <c r="B78" t="s">
        <v>132</v>
      </c>
      <c r="C78" t="s">
        <v>172</v>
      </c>
      <c r="D78" t="s">
        <v>44</v>
      </c>
      <c r="E78" t="s">
        <v>43</v>
      </c>
      <c r="F78" t="s">
        <v>42</v>
      </c>
      <c r="G78" t="s">
        <v>45</v>
      </c>
      <c r="H78">
        <v>70</v>
      </c>
      <c r="I78">
        <v>11.5</v>
      </c>
      <c r="J78">
        <v>805</v>
      </c>
      <c r="K78">
        <v>455</v>
      </c>
      <c r="L78">
        <v>350</v>
      </c>
      <c r="M78">
        <v>180</v>
      </c>
      <c r="N78">
        <v>40</v>
      </c>
      <c r="O78" s="8" t="str">
        <f t="shared" si="4"/>
        <v>In Stock</v>
      </c>
      <c r="P78" s="8" t="str">
        <f t="shared" si="3"/>
        <v>PASS</v>
      </c>
      <c r="Q78">
        <f>tbl_sales_clean[[#This Row],[Profit]]/tbl_sales_clean[[#This Row],[Total_Sales]]</f>
        <v>0.43478260869565216</v>
      </c>
    </row>
    <row r="79" spans="1:17">
      <c r="A79" s="1">
        <v>45482</v>
      </c>
      <c r="B79" t="s">
        <v>133</v>
      </c>
      <c r="C79" t="s">
        <v>173</v>
      </c>
      <c r="D79" t="s">
        <v>49</v>
      </c>
      <c r="E79" t="s">
        <v>48</v>
      </c>
      <c r="F79" t="s">
        <v>47</v>
      </c>
      <c r="G79" t="s">
        <v>50</v>
      </c>
      <c r="H79">
        <v>8</v>
      </c>
      <c r="I79">
        <v>190</v>
      </c>
      <c r="J79">
        <v>1520</v>
      </c>
      <c r="K79">
        <v>960</v>
      </c>
      <c r="L79">
        <v>560</v>
      </c>
      <c r="M79">
        <v>13</v>
      </c>
      <c r="N79">
        <v>10</v>
      </c>
      <c r="O79" s="8" t="str">
        <f t="shared" si="4"/>
        <v>In Stock</v>
      </c>
      <c r="P79" s="8" t="str">
        <f t="shared" si="3"/>
        <v>PASS</v>
      </c>
      <c r="Q79">
        <f>tbl_sales_clean[[#This Row],[Profit]]/tbl_sales_clean[[#This Row],[Total_Sales]]</f>
        <v>0.36842105263157893</v>
      </c>
    </row>
    <row r="80" spans="1:17">
      <c r="A80" s="1">
        <v>45485</v>
      </c>
      <c r="B80" t="s">
        <v>134</v>
      </c>
      <c r="C80" t="s">
        <v>174</v>
      </c>
      <c r="D80" t="s">
        <v>54</v>
      </c>
      <c r="E80" t="s">
        <v>53</v>
      </c>
      <c r="F80" t="s">
        <v>52</v>
      </c>
      <c r="G80" t="s">
        <v>55</v>
      </c>
      <c r="H80">
        <v>7</v>
      </c>
      <c r="I80">
        <v>270</v>
      </c>
      <c r="J80">
        <v>1890</v>
      </c>
      <c r="K80">
        <v>1260</v>
      </c>
      <c r="L80">
        <v>630</v>
      </c>
      <c r="M80">
        <v>7</v>
      </c>
      <c r="N80">
        <v>8</v>
      </c>
      <c r="O80" s="8" t="str">
        <f t="shared" si="4"/>
        <v>Low Stock</v>
      </c>
      <c r="P80" s="8" t="str">
        <f t="shared" si="3"/>
        <v>PASS</v>
      </c>
      <c r="Q80">
        <f>tbl_sales_clean[[#This Row],[Profit]]/tbl_sales_clean[[#This Row],[Total_Sales]]</f>
        <v>0.33333333333333331</v>
      </c>
    </row>
    <row r="81" spans="1:17">
      <c r="A81" s="1">
        <v>45488</v>
      </c>
      <c r="B81" t="s">
        <v>135</v>
      </c>
      <c r="C81" t="s">
        <v>175</v>
      </c>
      <c r="D81" t="s">
        <v>95</v>
      </c>
      <c r="E81" t="s">
        <v>58</v>
      </c>
      <c r="F81" t="s">
        <v>57</v>
      </c>
      <c r="G81" t="s">
        <v>40</v>
      </c>
      <c r="H81">
        <v>45</v>
      </c>
      <c r="I81">
        <v>12.5</v>
      </c>
      <c r="J81">
        <v>562.5</v>
      </c>
      <c r="K81">
        <v>279</v>
      </c>
      <c r="L81">
        <v>283.5</v>
      </c>
      <c r="M81">
        <v>70</v>
      </c>
      <c r="N81">
        <v>20</v>
      </c>
      <c r="O81" s="8" t="str">
        <f t="shared" si="4"/>
        <v>In Stock</v>
      </c>
      <c r="P81" s="8" t="str">
        <f t="shared" si="3"/>
        <v>PASS</v>
      </c>
      <c r="Q81">
        <f>tbl_sales_clean[[#This Row],[Profit]]/tbl_sales_clean[[#This Row],[Total_Sales]]</f>
        <v>0.504</v>
      </c>
    </row>
    <row r="82" spans="1:17">
      <c r="A82" s="1">
        <v>45491</v>
      </c>
      <c r="B82" t="s">
        <v>136</v>
      </c>
      <c r="C82" t="s">
        <v>176</v>
      </c>
      <c r="D82" t="s">
        <v>61</v>
      </c>
      <c r="E82" t="s">
        <v>37</v>
      </c>
      <c r="F82" t="s">
        <v>36</v>
      </c>
      <c r="G82" t="s">
        <v>45</v>
      </c>
      <c r="H82">
        <v>9</v>
      </c>
      <c r="I82">
        <v>435</v>
      </c>
      <c r="J82">
        <v>3915</v>
      </c>
      <c r="K82">
        <v>2835</v>
      </c>
      <c r="L82">
        <v>1080</v>
      </c>
      <c r="M82">
        <v>18</v>
      </c>
      <c r="N82">
        <v>6</v>
      </c>
      <c r="O82" s="8" t="str">
        <f t="shared" si="4"/>
        <v>In Stock</v>
      </c>
      <c r="P82" s="8" t="str">
        <f t="shared" si="3"/>
        <v>PASS</v>
      </c>
      <c r="Q82">
        <f>tbl_sales_clean[[#This Row],[Profit]]/tbl_sales_clean[[#This Row],[Total_Sales]]</f>
        <v>0.27586206896551724</v>
      </c>
    </row>
    <row r="83" spans="1:17">
      <c r="A83" s="1">
        <v>45494</v>
      </c>
      <c r="B83" t="s">
        <v>137</v>
      </c>
      <c r="C83" t="s">
        <v>177</v>
      </c>
      <c r="D83" t="s">
        <v>63</v>
      </c>
      <c r="E83" t="s">
        <v>48</v>
      </c>
      <c r="F83" t="s">
        <v>42</v>
      </c>
      <c r="G83" t="s">
        <v>50</v>
      </c>
      <c r="H83">
        <v>5</v>
      </c>
      <c r="I83">
        <v>530</v>
      </c>
      <c r="J83">
        <v>2650</v>
      </c>
      <c r="K83">
        <v>1800</v>
      </c>
      <c r="L83">
        <v>850</v>
      </c>
      <c r="M83">
        <v>12</v>
      </c>
      <c r="N83">
        <v>7</v>
      </c>
      <c r="O83" s="8" t="str">
        <f t="shared" si="4"/>
        <v>In Stock</v>
      </c>
      <c r="P83" s="8" t="str">
        <f t="shared" si="3"/>
        <v>PASS</v>
      </c>
      <c r="Q83">
        <f>tbl_sales_clean[[#This Row],[Profit]]/tbl_sales_clean[[#This Row],[Total_Sales]]</f>
        <v>0.32075471698113206</v>
      </c>
    </row>
    <row r="84" spans="1:17">
      <c r="A84" s="1">
        <v>45497</v>
      </c>
      <c r="B84" t="s">
        <v>138</v>
      </c>
      <c r="C84" t="s">
        <v>178</v>
      </c>
      <c r="D84" t="s">
        <v>65</v>
      </c>
      <c r="E84" t="s">
        <v>43</v>
      </c>
      <c r="F84" t="s">
        <v>47</v>
      </c>
      <c r="G84" t="s">
        <v>55</v>
      </c>
      <c r="H84">
        <v>20</v>
      </c>
      <c r="I84">
        <v>38</v>
      </c>
      <c r="J84">
        <v>760</v>
      </c>
      <c r="K84">
        <v>460</v>
      </c>
      <c r="L84">
        <v>300</v>
      </c>
      <c r="M84">
        <v>15</v>
      </c>
      <c r="N84">
        <v>20</v>
      </c>
      <c r="O84" s="8" t="str">
        <f t="shared" si="4"/>
        <v>Low Stock</v>
      </c>
      <c r="P84" s="8" t="str">
        <f t="shared" si="3"/>
        <v>PASS</v>
      </c>
      <c r="Q84">
        <f>tbl_sales_clean[[#This Row],[Profit]]/tbl_sales_clean[[#This Row],[Total_Sales]]</f>
        <v>0.39473684210526316</v>
      </c>
    </row>
    <row r="85" spans="1:17">
      <c r="A85" s="1">
        <v>45500</v>
      </c>
      <c r="B85" t="s">
        <v>139</v>
      </c>
      <c r="C85" t="s">
        <v>179</v>
      </c>
      <c r="D85" t="s">
        <v>67</v>
      </c>
      <c r="E85" t="s">
        <v>53</v>
      </c>
      <c r="F85" t="s">
        <v>52</v>
      </c>
      <c r="G85" t="s">
        <v>40</v>
      </c>
      <c r="H85">
        <v>28</v>
      </c>
      <c r="I85">
        <v>47</v>
      </c>
      <c r="J85">
        <v>1316</v>
      </c>
      <c r="K85">
        <v>756</v>
      </c>
      <c r="L85">
        <v>560</v>
      </c>
      <c r="M85">
        <v>100</v>
      </c>
      <c r="N85">
        <v>25</v>
      </c>
      <c r="O85" s="8" t="str">
        <f t="shared" si="4"/>
        <v>In Stock</v>
      </c>
      <c r="P85" s="8" t="str">
        <f t="shared" si="3"/>
        <v>PASS</v>
      </c>
      <c r="Q85">
        <f>tbl_sales_clean[[#This Row],[Profit]]/tbl_sales_clean[[#This Row],[Total_Sales]]</f>
        <v>0.42553191489361702</v>
      </c>
    </row>
    <row r="86" spans="1:17">
      <c r="A86" s="1">
        <v>45503</v>
      </c>
      <c r="B86" t="s">
        <v>140</v>
      </c>
      <c r="C86" t="s">
        <v>180</v>
      </c>
      <c r="D86" t="s">
        <v>69</v>
      </c>
      <c r="E86" t="s">
        <v>58</v>
      </c>
      <c r="F86" t="s">
        <v>57</v>
      </c>
      <c r="G86" t="s">
        <v>45</v>
      </c>
      <c r="H86">
        <v>100</v>
      </c>
      <c r="I86">
        <v>3.3</v>
      </c>
      <c r="J86">
        <v>330</v>
      </c>
      <c r="K86">
        <v>170</v>
      </c>
      <c r="L86">
        <v>160</v>
      </c>
      <c r="M86">
        <v>160</v>
      </c>
      <c r="N86">
        <v>35</v>
      </c>
      <c r="O86" s="8" t="str">
        <f t="shared" si="4"/>
        <v>In Stock</v>
      </c>
      <c r="P86" s="8" t="str">
        <f t="shared" si="3"/>
        <v>PASS</v>
      </c>
      <c r="Q86">
        <f>tbl_sales_clean[[#This Row],[Profit]]/tbl_sales_clean[[#This Row],[Total_Sales]]</f>
        <v>0.48484848484848486</v>
      </c>
    </row>
    <row r="87" spans="1:17">
      <c r="A87" s="1">
        <v>45506</v>
      </c>
      <c r="B87" t="s">
        <v>141</v>
      </c>
      <c r="C87" t="s">
        <v>171</v>
      </c>
      <c r="D87" t="s">
        <v>71</v>
      </c>
      <c r="E87" t="s">
        <v>37</v>
      </c>
      <c r="F87" t="s">
        <v>36</v>
      </c>
      <c r="G87" t="s">
        <v>50</v>
      </c>
      <c r="H87">
        <v>9</v>
      </c>
      <c r="I87">
        <v>800</v>
      </c>
      <c r="J87">
        <v>7200</v>
      </c>
      <c r="K87">
        <v>5220</v>
      </c>
      <c r="L87">
        <v>1980</v>
      </c>
      <c r="M87">
        <v>20</v>
      </c>
      <c r="N87">
        <v>7</v>
      </c>
      <c r="O87" s="8" t="str">
        <f t="shared" si="4"/>
        <v>In Stock</v>
      </c>
      <c r="P87" s="8" t="str">
        <f t="shared" si="3"/>
        <v>PASS</v>
      </c>
      <c r="Q87">
        <f>tbl_sales_clean[[#This Row],[Profit]]/tbl_sales_clean[[#This Row],[Total_Sales]]</f>
        <v>0.27500000000000002</v>
      </c>
    </row>
    <row r="88" spans="1:17">
      <c r="A88" s="1">
        <v>45509</v>
      </c>
      <c r="B88" t="s">
        <v>142</v>
      </c>
      <c r="C88" t="s">
        <v>172</v>
      </c>
      <c r="D88" t="s">
        <v>73</v>
      </c>
      <c r="E88" t="s">
        <v>43</v>
      </c>
      <c r="F88" t="s">
        <v>42</v>
      </c>
      <c r="G88" t="s">
        <v>55</v>
      </c>
      <c r="H88">
        <v>75</v>
      </c>
      <c r="I88">
        <v>6.2</v>
      </c>
      <c r="J88">
        <v>465</v>
      </c>
      <c r="K88">
        <v>232.5</v>
      </c>
      <c r="L88">
        <v>232.5</v>
      </c>
      <c r="M88">
        <v>135</v>
      </c>
      <c r="N88">
        <v>50</v>
      </c>
      <c r="O88" s="8" t="str">
        <f t="shared" si="4"/>
        <v>In Stock</v>
      </c>
      <c r="P88" s="8" t="str">
        <f t="shared" si="3"/>
        <v>PASS</v>
      </c>
      <c r="Q88">
        <f>tbl_sales_clean[[#This Row],[Profit]]/tbl_sales_clean[[#This Row],[Total_Sales]]</f>
        <v>0.5</v>
      </c>
    </row>
    <row r="89" spans="1:17">
      <c r="A89" s="1">
        <v>45512</v>
      </c>
      <c r="B89" t="s">
        <v>143</v>
      </c>
      <c r="C89" t="s">
        <v>173</v>
      </c>
      <c r="D89" t="s">
        <v>75</v>
      </c>
      <c r="E89" t="s">
        <v>48</v>
      </c>
      <c r="F89" t="s">
        <v>47</v>
      </c>
      <c r="G89" t="s">
        <v>40</v>
      </c>
      <c r="H89">
        <v>6</v>
      </c>
      <c r="I89">
        <v>355</v>
      </c>
      <c r="J89">
        <v>2130</v>
      </c>
      <c r="K89">
        <v>1410</v>
      </c>
      <c r="L89">
        <v>720</v>
      </c>
      <c r="M89">
        <v>6</v>
      </c>
      <c r="N89">
        <v>6</v>
      </c>
      <c r="O89" s="8" t="str">
        <f t="shared" si="4"/>
        <v>In Stock</v>
      </c>
      <c r="P89" s="8" t="str">
        <f t="shared" si="3"/>
        <v>PASS</v>
      </c>
      <c r="Q89">
        <f>tbl_sales_clean[[#This Row],[Profit]]/tbl_sales_clean[[#This Row],[Total_Sales]]</f>
        <v>0.3380281690140845</v>
      </c>
    </row>
    <row r="90" spans="1:17">
      <c r="A90" s="1">
        <v>45515</v>
      </c>
      <c r="B90" t="s">
        <v>144</v>
      </c>
      <c r="C90" t="s">
        <v>174</v>
      </c>
      <c r="D90" t="s">
        <v>77</v>
      </c>
      <c r="E90" t="s">
        <v>53</v>
      </c>
      <c r="F90" t="s">
        <v>52</v>
      </c>
      <c r="G90" t="s">
        <v>45</v>
      </c>
      <c r="H90">
        <v>40</v>
      </c>
      <c r="I90">
        <v>30</v>
      </c>
      <c r="J90">
        <v>1200</v>
      </c>
      <c r="K90">
        <v>640</v>
      </c>
      <c r="L90">
        <v>560</v>
      </c>
      <c r="M90">
        <v>75</v>
      </c>
      <c r="N90">
        <v>15</v>
      </c>
      <c r="O90" s="8" t="str">
        <f t="shared" si="4"/>
        <v>In Stock</v>
      </c>
      <c r="P90" s="8" t="str">
        <f t="shared" si="3"/>
        <v>PASS</v>
      </c>
      <c r="Q90">
        <f>tbl_sales_clean[[#This Row],[Profit]]/tbl_sales_clean[[#This Row],[Total_Sales]]</f>
        <v>0.46666666666666667</v>
      </c>
    </row>
    <row r="91" spans="1:17">
      <c r="A91" s="1">
        <v>45518</v>
      </c>
      <c r="B91" t="s">
        <v>145</v>
      </c>
      <c r="C91" t="s">
        <v>175</v>
      </c>
      <c r="D91" t="s">
        <v>79</v>
      </c>
      <c r="E91" t="s">
        <v>58</v>
      </c>
      <c r="F91" t="s">
        <v>57</v>
      </c>
      <c r="G91" t="s">
        <v>50</v>
      </c>
      <c r="H91">
        <v>90</v>
      </c>
      <c r="I91">
        <v>5.5</v>
      </c>
      <c r="J91">
        <v>495</v>
      </c>
      <c r="K91">
        <v>225</v>
      </c>
      <c r="L91">
        <v>270</v>
      </c>
      <c r="M91">
        <v>210</v>
      </c>
      <c r="N91">
        <v>60</v>
      </c>
      <c r="O91" s="8" t="str">
        <f t="shared" si="4"/>
        <v>In Stock</v>
      </c>
      <c r="P91" s="8" t="str">
        <f t="shared" si="3"/>
        <v>PASS</v>
      </c>
      <c r="Q91">
        <f>tbl_sales_clean[[#This Row],[Profit]]/tbl_sales_clean[[#This Row],[Total_Sales]]</f>
        <v>0.54545454545454541</v>
      </c>
    </row>
    <row r="92" spans="1:17">
      <c r="A92" s="1">
        <v>45521</v>
      </c>
      <c r="B92" t="s">
        <v>146</v>
      </c>
      <c r="C92" t="s">
        <v>176</v>
      </c>
      <c r="D92" t="s">
        <v>81</v>
      </c>
      <c r="E92" t="s">
        <v>37</v>
      </c>
      <c r="F92" t="s">
        <v>36</v>
      </c>
      <c r="G92" t="s">
        <v>55</v>
      </c>
      <c r="H92">
        <v>18</v>
      </c>
      <c r="I92">
        <v>92</v>
      </c>
      <c r="J92">
        <v>1656</v>
      </c>
      <c r="K92">
        <v>936</v>
      </c>
      <c r="L92">
        <v>720</v>
      </c>
      <c r="M92">
        <v>16</v>
      </c>
      <c r="N92">
        <v>10</v>
      </c>
      <c r="O92" s="8" t="str">
        <f t="shared" si="4"/>
        <v>In Stock</v>
      </c>
      <c r="P92" s="8" t="str">
        <f t="shared" si="3"/>
        <v>PASS</v>
      </c>
      <c r="Q92">
        <f>tbl_sales_clean[[#This Row],[Profit]]/tbl_sales_clean[[#This Row],[Total_Sales]]</f>
        <v>0.43478260869565216</v>
      </c>
    </row>
    <row r="93" spans="1:17">
      <c r="A93" s="1">
        <v>45524</v>
      </c>
      <c r="B93" t="s">
        <v>147</v>
      </c>
      <c r="C93" t="s">
        <v>177</v>
      </c>
      <c r="D93" t="s">
        <v>83</v>
      </c>
      <c r="E93" t="s">
        <v>48</v>
      </c>
      <c r="F93" t="s">
        <v>42</v>
      </c>
      <c r="G93" t="s">
        <v>40</v>
      </c>
      <c r="H93">
        <v>7</v>
      </c>
      <c r="I93">
        <v>225</v>
      </c>
      <c r="J93">
        <v>1575</v>
      </c>
      <c r="K93">
        <v>1015</v>
      </c>
      <c r="L93">
        <v>560</v>
      </c>
      <c r="M93">
        <v>7</v>
      </c>
      <c r="N93">
        <v>8</v>
      </c>
      <c r="O93" s="8" t="str">
        <f t="shared" si="4"/>
        <v>Low Stock</v>
      </c>
      <c r="P93" s="8" t="str">
        <f t="shared" si="3"/>
        <v>PASS</v>
      </c>
      <c r="Q93">
        <f>tbl_sales_clean[[#This Row],[Profit]]/tbl_sales_clean[[#This Row],[Total_Sales]]</f>
        <v>0.35555555555555557</v>
      </c>
    </row>
    <row r="94" spans="1:17">
      <c r="A94" s="1">
        <v>45527</v>
      </c>
      <c r="B94" t="s">
        <v>148</v>
      </c>
      <c r="C94" t="s">
        <v>178</v>
      </c>
      <c r="D94" t="s">
        <v>85</v>
      </c>
      <c r="E94" t="s">
        <v>43</v>
      </c>
      <c r="F94" t="s">
        <v>47</v>
      </c>
      <c r="G94" t="s">
        <v>45</v>
      </c>
      <c r="H94">
        <v>36</v>
      </c>
      <c r="I94">
        <v>15</v>
      </c>
      <c r="J94">
        <v>540</v>
      </c>
      <c r="K94">
        <v>252</v>
      </c>
      <c r="L94">
        <v>288</v>
      </c>
      <c r="M94">
        <v>110</v>
      </c>
      <c r="N94">
        <v>25</v>
      </c>
      <c r="O94" s="8" t="str">
        <f t="shared" si="4"/>
        <v>In Stock</v>
      </c>
      <c r="P94" s="8" t="str">
        <f t="shared" si="3"/>
        <v>PASS</v>
      </c>
      <c r="Q94">
        <f>tbl_sales_clean[[#This Row],[Profit]]/tbl_sales_clean[[#This Row],[Total_Sales]]</f>
        <v>0.53333333333333333</v>
      </c>
    </row>
    <row r="95" spans="1:17">
      <c r="A95" s="1">
        <v>45530</v>
      </c>
      <c r="B95" t="s">
        <v>149</v>
      </c>
      <c r="C95" t="s">
        <v>179</v>
      </c>
      <c r="D95" t="s">
        <v>87</v>
      </c>
      <c r="E95" t="s">
        <v>53</v>
      </c>
      <c r="F95" t="s">
        <v>52</v>
      </c>
      <c r="G95" t="s">
        <v>50</v>
      </c>
      <c r="H95">
        <v>15</v>
      </c>
      <c r="I95">
        <v>105</v>
      </c>
      <c r="J95">
        <v>1575</v>
      </c>
      <c r="K95">
        <v>930</v>
      </c>
      <c r="L95">
        <v>645</v>
      </c>
      <c r="M95">
        <v>32</v>
      </c>
      <c r="N95">
        <v>8</v>
      </c>
      <c r="O95" s="8" t="str">
        <f t="shared" si="4"/>
        <v>In Stock</v>
      </c>
      <c r="P95" s="8" t="str">
        <f t="shared" si="3"/>
        <v>PASS</v>
      </c>
      <c r="Q95">
        <f>tbl_sales_clean[[#This Row],[Profit]]/tbl_sales_clean[[#This Row],[Total_Sales]]</f>
        <v>0.40952380952380951</v>
      </c>
    </row>
    <row r="96" spans="1:17">
      <c r="A96" s="1">
        <v>45533</v>
      </c>
      <c r="B96" t="s">
        <v>150</v>
      </c>
      <c r="C96" t="s">
        <v>180</v>
      </c>
      <c r="D96" t="s">
        <v>89</v>
      </c>
      <c r="E96" t="s">
        <v>58</v>
      </c>
      <c r="F96" t="s">
        <v>57</v>
      </c>
      <c r="G96" t="s">
        <v>55</v>
      </c>
      <c r="H96">
        <v>58</v>
      </c>
      <c r="I96">
        <v>8</v>
      </c>
      <c r="J96">
        <v>464</v>
      </c>
      <c r="K96">
        <v>203</v>
      </c>
      <c r="L96">
        <v>261</v>
      </c>
      <c r="M96">
        <v>95</v>
      </c>
      <c r="N96">
        <v>35</v>
      </c>
      <c r="O96" s="8" t="str">
        <f t="shared" si="4"/>
        <v>In Stock</v>
      </c>
      <c r="P96" s="8" t="str">
        <f t="shared" si="3"/>
        <v>PASS</v>
      </c>
      <c r="Q96">
        <f>tbl_sales_clean[[#This Row],[Profit]]/tbl_sales_clean[[#This Row],[Total_Sales]]</f>
        <v>0.5625</v>
      </c>
    </row>
    <row r="97" spans="1:17">
      <c r="A97" s="1">
        <v>45538</v>
      </c>
      <c r="B97" t="s">
        <v>151</v>
      </c>
      <c r="C97" t="s">
        <v>171</v>
      </c>
      <c r="D97" t="s">
        <v>38</v>
      </c>
      <c r="E97" t="s">
        <v>37</v>
      </c>
      <c r="F97" t="s">
        <v>36</v>
      </c>
      <c r="G97" t="s">
        <v>40</v>
      </c>
      <c r="H97">
        <v>6</v>
      </c>
      <c r="I97">
        <v>990</v>
      </c>
      <c r="J97">
        <v>5940</v>
      </c>
      <c r="K97">
        <v>4380</v>
      </c>
      <c r="L97">
        <v>1560</v>
      </c>
      <c r="M97">
        <v>4</v>
      </c>
      <c r="N97">
        <v>5</v>
      </c>
      <c r="O97" s="8" t="str">
        <f t="shared" si="4"/>
        <v>Low Stock</v>
      </c>
      <c r="P97" s="8" t="str">
        <f t="shared" si="3"/>
        <v>PASS</v>
      </c>
      <c r="Q97">
        <f>tbl_sales_clean[[#This Row],[Profit]]/tbl_sales_clean[[#This Row],[Total_Sales]]</f>
        <v>0.26262626262626265</v>
      </c>
    </row>
    <row r="98" spans="1:17">
      <c r="A98" s="1">
        <v>45541</v>
      </c>
      <c r="B98" t="s">
        <v>152</v>
      </c>
      <c r="C98" t="s">
        <v>172</v>
      </c>
      <c r="D98" t="s">
        <v>44</v>
      </c>
      <c r="E98" t="s">
        <v>43</v>
      </c>
      <c r="F98" t="s">
        <v>42</v>
      </c>
      <c r="G98" t="s">
        <v>45</v>
      </c>
      <c r="H98">
        <v>85</v>
      </c>
      <c r="I98">
        <v>12.2</v>
      </c>
      <c r="J98">
        <v>1037</v>
      </c>
      <c r="K98">
        <v>612</v>
      </c>
      <c r="L98">
        <v>425</v>
      </c>
      <c r="M98">
        <v>145</v>
      </c>
      <c r="N98">
        <v>40</v>
      </c>
      <c r="O98" s="8" t="str">
        <f t="shared" si="4"/>
        <v>In Stock</v>
      </c>
      <c r="P98" s="8" t="str">
        <f t="shared" ref="P98:P129" si="5">IF(O98=IF(M98&lt;N98,"Low Stock","In Stock"),"PASS","CHECK")</f>
        <v>PASS</v>
      </c>
      <c r="Q98">
        <f>tbl_sales_clean[[#This Row],[Profit]]/tbl_sales_clean[[#This Row],[Total_Sales]]</f>
        <v>0.4098360655737705</v>
      </c>
    </row>
    <row r="99" spans="1:17">
      <c r="A99" s="1">
        <v>45544</v>
      </c>
      <c r="B99" t="s">
        <v>153</v>
      </c>
      <c r="C99" t="s">
        <v>173</v>
      </c>
      <c r="D99" t="s">
        <v>49</v>
      </c>
      <c r="E99" t="s">
        <v>48</v>
      </c>
      <c r="F99" t="s">
        <v>47</v>
      </c>
      <c r="G99" t="s">
        <v>50</v>
      </c>
      <c r="H99">
        <v>9</v>
      </c>
      <c r="I99">
        <v>195</v>
      </c>
      <c r="J99">
        <v>1755</v>
      </c>
      <c r="K99">
        <v>1125</v>
      </c>
      <c r="L99">
        <v>630</v>
      </c>
      <c r="M99">
        <v>20</v>
      </c>
      <c r="N99">
        <v>10</v>
      </c>
      <c r="O99" s="8" t="str">
        <f t="shared" si="4"/>
        <v>In Stock</v>
      </c>
      <c r="P99" s="8" t="str">
        <f t="shared" si="5"/>
        <v>PASS</v>
      </c>
      <c r="Q99">
        <f>tbl_sales_clean[[#This Row],[Profit]]/tbl_sales_clean[[#This Row],[Total_Sales]]</f>
        <v>0.35897435897435898</v>
      </c>
    </row>
    <row r="100" spans="1:17">
      <c r="A100" s="1">
        <v>45547</v>
      </c>
      <c r="B100" t="s">
        <v>154</v>
      </c>
      <c r="C100" t="s">
        <v>174</v>
      </c>
      <c r="D100" t="s">
        <v>54</v>
      </c>
      <c r="E100" t="s">
        <v>53</v>
      </c>
      <c r="F100" t="s">
        <v>52</v>
      </c>
      <c r="G100" t="s">
        <v>55</v>
      </c>
      <c r="H100">
        <v>8</v>
      </c>
      <c r="I100">
        <v>275</v>
      </c>
      <c r="J100">
        <v>2200</v>
      </c>
      <c r="K100">
        <v>1480</v>
      </c>
      <c r="L100">
        <v>720</v>
      </c>
      <c r="M100">
        <v>26</v>
      </c>
      <c r="N100">
        <v>8</v>
      </c>
      <c r="O100" s="8" t="str">
        <f t="shared" si="4"/>
        <v>In Stock</v>
      </c>
      <c r="P100" s="8" t="str">
        <f t="shared" si="5"/>
        <v>PASS</v>
      </c>
      <c r="Q100">
        <f>tbl_sales_clean[[#This Row],[Profit]]/tbl_sales_clean[[#This Row],[Total_Sales]]</f>
        <v>0.32727272727272727</v>
      </c>
    </row>
    <row r="101" spans="1:17">
      <c r="A101" s="1">
        <v>45550</v>
      </c>
      <c r="B101" t="s">
        <v>155</v>
      </c>
      <c r="C101" t="s">
        <v>175</v>
      </c>
      <c r="D101" t="s">
        <v>59</v>
      </c>
      <c r="E101" t="s">
        <v>58</v>
      </c>
      <c r="F101" t="s">
        <v>57</v>
      </c>
      <c r="G101" t="s">
        <v>40</v>
      </c>
      <c r="H101">
        <v>90</v>
      </c>
      <c r="I101">
        <v>8.8000000000000007</v>
      </c>
      <c r="J101">
        <v>792</v>
      </c>
      <c r="K101">
        <v>396</v>
      </c>
      <c r="L101">
        <v>396</v>
      </c>
      <c r="M101">
        <v>115</v>
      </c>
      <c r="N101">
        <v>30</v>
      </c>
      <c r="O101" s="8" t="str">
        <f t="shared" si="4"/>
        <v>In Stock</v>
      </c>
      <c r="P101" s="8" t="str">
        <f t="shared" si="5"/>
        <v>PASS</v>
      </c>
      <c r="Q101">
        <f>tbl_sales_clean[[#This Row],[Profit]]/tbl_sales_clean[[#This Row],[Total_Sales]]</f>
        <v>0.5</v>
      </c>
    </row>
    <row r="102" spans="1:17">
      <c r="A102" s="1">
        <v>45553</v>
      </c>
      <c r="B102" t="s">
        <v>156</v>
      </c>
      <c r="C102" t="s">
        <v>176</v>
      </c>
      <c r="D102" t="s">
        <v>61</v>
      </c>
      <c r="E102" t="s">
        <v>37</v>
      </c>
      <c r="F102" t="s">
        <v>36</v>
      </c>
      <c r="G102" t="s">
        <v>45</v>
      </c>
      <c r="H102">
        <v>10</v>
      </c>
      <c r="I102">
        <v>440</v>
      </c>
      <c r="J102">
        <v>4400</v>
      </c>
      <c r="K102">
        <v>3200</v>
      </c>
      <c r="L102">
        <v>1200</v>
      </c>
      <c r="M102">
        <v>17</v>
      </c>
      <c r="N102">
        <v>6</v>
      </c>
      <c r="O102" s="8" t="str">
        <f t="shared" si="4"/>
        <v>In Stock</v>
      </c>
      <c r="P102" s="8" t="str">
        <f t="shared" si="5"/>
        <v>PASS</v>
      </c>
      <c r="Q102">
        <f>tbl_sales_clean[[#This Row],[Profit]]/tbl_sales_clean[[#This Row],[Total_Sales]]</f>
        <v>0.27272727272727271</v>
      </c>
    </row>
    <row r="103" spans="1:17">
      <c r="A103" s="1">
        <v>45556</v>
      </c>
      <c r="B103" t="s">
        <v>157</v>
      </c>
      <c r="C103" t="s">
        <v>177</v>
      </c>
      <c r="D103" t="s">
        <v>63</v>
      </c>
      <c r="E103" t="s">
        <v>48</v>
      </c>
      <c r="F103" t="s">
        <v>42</v>
      </c>
      <c r="G103" t="s">
        <v>50</v>
      </c>
      <c r="H103">
        <v>6</v>
      </c>
      <c r="I103">
        <v>540</v>
      </c>
      <c r="J103">
        <v>3240</v>
      </c>
      <c r="K103">
        <v>2220</v>
      </c>
      <c r="L103">
        <v>1020</v>
      </c>
      <c r="M103">
        <v>5</v>
      </c>
      <c r="N103">
        <v>7</v>
      </c>
      <c r="O103" s="8" t="str">
        <f t="shared" si="4"/>
        <v>Low Stock</v>
      </c>
      <c r="P103" s="8" t="str">
        <f t="shared" si="5"/>
        <v>PASS</v>
      </c>
      <c r="Q103">
        <f>tbl_sales_clean[[#This Row],[Profit]]/tbl_sales_clean[[#This Row],[Total_Sales]]</f>
        <v>0.31481481481481483</v>
      </c>
    </row>
    <row r="104" spans="1:17">
      <c r="A104" s="1">
        <v>45559</v>
      </c>
      <c r="B104" t="s">
        <v>158</v>
      </c>
      <c r="C104" t="s">
        <v>178</v>
      </c>
      <c r="D104" t="s">
        <v>65</v>
      </c>
      <c r="E104" t="s">
        <v>43</v>
      </c>
      <c r="F104" t="s">
        <v>47</v>
      </c>
      <c r="G104" t="s">
        <v>55</v>
      </c>
      <c r="H104">
        <v>24</v>
      </c>
      <c r="I104">
        <v>39</v>
      </c>
      <c r="J104">
        <v>936</v>
      </c>
      <c r="K104">
        <v>576</v>
      </c>
      <c r="L104">
        <v>360</v>
      </c>
      <c r="M104">
        <v>50</v>
      </c>
      <c r="N104">
        <v>20</v>
      </c>
      <c r="O104" s="8" t="str">
        <f t="shared" si="4"/>
        <v>In Stock</v>
      </c>
      <c r="P104" s="8" t="str">
        <f t="shared" si="5"/>
        <v>PASS</v>
      </c>
      <c r="Q104">
        <f>tbl_sales_clean[[#This Row],[Profit]]/tbl_sales_clean[[#This Row],[Total_Sales]]</f>
        <v>0.38461538461538464</v>
      </c>
    </row>
    <row r="105" spans="1:17">
      <c r="A105" s="1">
        <v>45562</v>
      </c>
      <c r="B105" t="s">
        <v>159</v>
      </c>
      <c r="C105" t="s">
        <v>179</v>
      </c>
      <c r="D105" t="s">
        <v>67</v>
      </c>
      <c r="E105" t="s">
        <v>53</v>
      </c>
      <c r="F105" t="s">
        <v>52</v>
      </c>
      <c r="G105" t="s">
        <v>40</v>
      </c>
      <c r="H105">
        <v>32</v>
      </c>
      <c r="I105">
        <v>48</v>
      </c>
      <c r="J105">
        <v>1536</v>
      </c>
      <c r="K105">
        <v>896</v>
      </c>
      <c r="L105">
        <v>640</v>
      </c>
      <c r="M105">
        <v>115</v>
      </c>
      <c r="N105">
        <v>25</v>
      </c>
      <c r="O105" s="8" t="str">
        <f t="shared" si="4"/>
        <v>In Stock</v>
      </c>
      <c r="P105" s="8" t="str">
        <f t="shared" si="5"/>
        <v>PASS</v>
      </c>
      <c r="Q105">
        <f>tbl_sales_clean[[#This Row],[Profit]]/tbl_sales_clean[[#This Row],[Total_Sales]]</f>
        <v>0.41666666666666669</v>
      </c>
    </row>
    <row r="106" spans="1:17">
      <c r="A106" s="1">
        <v>45565</v>
      </c>
      <c r="B106" t="s">
        <v>160</v>
      </c>
      <c r="C106" t="s">
        <v>180</v>
      </c>
      <c r="D106" t="s">
        <v>69</v>
      </c>
      <c r="E106" t="s">
        <v>58</v>
      </c>
      <c r="F106" t="s">
        <v>57</v>
      </c>
      <c r="G106" t="s">
        <v>45</v>
      </c>
      <c r="H106">
        <v>120</v>
      </c>
      <c r="I106">
        <v>3.4</v>
      </c>
      <c r="J106">
        <v>408</v>
      </c>
      <c r="K106">
        <v>216</v>
      </c>
      <c r="L106">
        <v>192</v>
      </c>
      <c r="M106">
        <v>30</v>
      </c>
      <c r="N106">
        <v>35</v>
      </c>
      <c r="O106" s="8" t="str">
        <f t="shared" si="4"/>
        <v>Low Stock</v>
      </c>
      <c r="P106" s="8" t="str">
        <f t="shared" si="5"/>
        <v>PASS</v>
      </c>
      <c r="Q106">
        <f>tbl_sales_clean[[#This Row],[Profit]]/tbl_sales_clean[[#This Row],[Total_Sales]]</f>
        <v>0.47058823529411764</v>
      </c>
    </row>
    <row r="107" spans="1:17">
      <c r="A107" s="1">
        <v>45568</v>
      </c>
      <c r="B107" t="s">
        <v>161</v>
      </c>
      <c r="C107" t="s">
        <v>171</v>
      </c>
      <c r="D107" t="s">
        <v>71</v>
      </c>
      <c r="E107" t="s">
        <v>37</v>
      </c>
      <c r="F107" t="s">
        <v>36</v>
      </c>
      <c r="G107" t="s">
        <v>50</v>
      </c>
      <c r="H107">
        <v>10</v>
      </c>
      <c r="I107">
        <v>810</v>
      </c>
      <c r="J107">
        <v>8100</v>
      </c>
      <c r="K107">
        <v>5900</v>
      </c>
      <c r="L107">
        <v>2200</v>
      </c>
      <c r="M107">
        <v>22</v>
      </c>
      <c r="N107">
        <v>7</v>
      </c>
      <c r="O107" s="8" t="str">
        <f t="shared" si="4"/>
        <v>In Stock</v>
      </c>
      <c r="P107" s="8" t="str">
        <f t="shared" si="5"/>
        <v>PASS</v>
      </c>
      <c r="Q107">
        <f>tbl_sales_clean[[#This Row],[Profit]]/tbl_sales_clean[[#This Row],[Total_Sales]]</f>
        <v>0.27160493827160492</v>
      </c>
    </row>
    <row r="108" spans="1:17">
      <c r="A108" s="1">
        <v>45571</v>
      </c>
      <c r="B108" t="s">
        <v>162</v>
      </c>
      <c r="C108" t="s">
        <v>172</v>
      </c>
      <c r="D108" t="s">
        <v>73</v>
      </c>
      <c r="E108" t="s">
        <v>43</v>
      </c>
      <c r="F108" t="s">
        <v>42</v>
      </c>
      <c r="G108" t="s">
        <v>55</v>
      </c>
      <c r="H108">
        <v>90</v>
      </c>
      <c r="I108">
        <v>6.5</v>
      </c>
      <c r="J108">
        <v>585</v>
      </c>
      <c r="K108">
        <v>288</v>
      </c>
      <c r="L108">
        <v>297</v>
      </c>
      <c r="M108">
        <v>160</v>
      </c>
      <c r="N108">
        <v>50</v>
      </c>
      <c r="O108" s="8" t="str">
        <f t="shared" si="4"/>
        <v>In Stock</v>
      </c>
      <c r="P108" s="8" t="str">
        <f t="shared" si="5"/>
        <v>PASS</v>
      </c>
      <c r="Q108">
        <f>tbl_sales_clean[[#This Row],[Profit]]/tbl_sales_clean[[#This Row],[Total_Sales]]</f>
        <v>0.50769230769230766</v>
      </c>
    </row>
    <row r="109" spans="1:17">
      <c r="A109" s="1">
        <v>45574</v>
      </c>
      <c r="B109" t="s">
        <v>163</v>
      </c>
      <c r="C109" t="s">
        <v>173</v>
      </c>
      <c r="D109" t="s">
        <v>75</v>
      </c>
      <c r="E109" t="s">
        <v>48</v>
      </c>
      <c r="F109" t="s">
        <v>47</v>
      </c>
      <c r="G109" t="s">
        <v>40</v>
      </c>
      <c r="H109">
        <v>7</v>
      </c>
      <c r="I109">
        <v>360</v>
      </c>
      <c r="J109">
        <v>2520</v>
      </c>
      <c r="K109">
        <v>1680</v>
      </c>
      <c r="L109">
        <v>840</v>
      </c>
      <c r="M109">
        <v>14</v>
      </c>
      <c r="N109">
        <v>6</v>
      </c>
      <c r="O109" s="8" t="str">
        <f t="shared" si="4"/>
        <v>In Stock</v>
      </c>
      <c r="P109" s="8" t="str">
        <f t="shared" si="5"/>
        <v>PASS</v>
      </c>
      <c r="Q109">
        <f>tbl_sales_clean[[#This Row],[Profit]]/tbl_sales_clean[[#This Row],[Total_Sales]]</f>
        <v>0.33333333333333331</v>
      </c>
    </row>
    <row r="110" spans="1:17">
      <c r="A110" s="1">
        <v>45577</v>
      </c>
      <c r="B110" t="s">
        <v>164</v>
      </c>
      <c r="C110" t="s">
        <v>174</v>
      </c>
      <c r="D110" t="s">
        <v>77</v>
      </c>
      <c r="E110" t="s">
        <v>53</v>
      </c>
      <c r="F110" t="s">
        <v>52</v>
      </c>
      <c r="G110" t="s">
        <v>45</v>
      </c>
      <c r="H110">
        <v>45</v>
      </c>
      <c r="I110">
        <v>31</v>
      </c>
      <c r="J110">
        <v>1395</v>
      </c>
      <c r="K110">
        <v>765</v>
      </c>
      <c r="L110">
        <v>630</v>
      </c>
      <c r="M110">
        <v>12</v>
      </c>
      <c r="N110">
        <v>15</v>
      </c>
      <c r="O110" s="8" t="str">
        <f t="shared" si="4"/>
        <v>Low Stock</v>
      </c>
      <c r="P110" s="8" t="str">
        <f t="shared" si="5"/>
        <v>PASS</v>
      </c>
      <c r="Q110">
        <f>tbl_sales_clean[[#This Row],[Profit]]/tbl_sales_clean[[#This Row],[Total_Sales]]</f>
        <v>0.45161290322580644</v>
      </c>
    </row>
    <row r="111" spans="1:17">
      <c r="A111" s="1">
        <v>45580</v>
      </c>
      <c r="B111" t="s">
        <v>165</v>
      </c>
      <c r="C111" t="s">
        <v>175</v>
      </c>
      <c r="D111" t="s">
        <v>79</v>
      </c>
      <c r="E111" t="s">
        <v>58</v>
      </c>
      <c r="F111" t="s">
        <v>57</v>
      </c>
      <c r="G111" t="s">
        <v>50</v>
      </c>
      <c r="H111">
        <v>100</v>
      </c>
      <c r="I111">
        <v>5.7</v>
      </c>
      <c r="J111">
        <v>570</v>
      </c>
      <c r="K111">
        <v>270</v>
      </c>
      <c r="L111">
        <v>300</v>
      </c>
      <c r="M111">
        <v>230</v>
      </c>
      <c r="N111">
        <v>60</v>
      </c>
      <c r="O111" s="8" t="str">
        <f t="shared" si="4"/>
        <v>In Stock</v>
      </c>
      <c r="P111" s="8" t="str">
        <f t="shared" si="5"/>
        <v>PASS</v>
      </c>
      <c r="Q111">
        <f>tbl_sales_clean[[#This Row],[Profit]]/tbl_sales_clean[[#This Row],[Total_Sales]]</f>
        <v>0.52631578947368418</v>
      </c>
    </row>
    <row r="112" spans="1:17">
      <c r="A112" s="1">
        <v>45583</v>
      </c>
      <c r="B112" t="s">
        <v>166</v>
      </c>
      <c r="C112" t="s">
        <v>176</v>
      </c>
      <c r="D112" t="s">
        <v>81</v>
      </c>
      <c r="E112" t="s">
        <v>37</v>
      </c>
      <c r="F112" t="s">
        <v>36</v>
      </c>
      <c r="G112" t="s">
        <v>55</v>
      </c>
      <c r="H112">
        <v>20</v>
      </c>
      <c r="I112">
        <v>95</v>
      </c>
      <c r="J112">
        <v>1900</v>
      </c>
      <c r="K112">
        <v>1100</v>
      </c>
      <c r="L112">
        <v>800</v>
      </c>
      <c r="M112">
        <v>24</v>
      </c>
      <c r="N112">
        <v>10</v>
      </c>
      <c r="O112" s="8" t="str">
        <f t="shared" si="4"/>
        <v>In Stock</v>
      </c>
      <c r="P112" s="8" t="str">
        <f t="shared" si="5"/>
        <v>PASS</v>
      </c>
      <c r="Q112">
        <f>tbl_sales_clean[[#This Row],[Profit]]/tbl_sales_clean[[#This Row],[Total_Sales]]</f>
        <v>0.42105263157894735</v>
      </c>
    </row>
    <row r="113" spans="1:17">
      <c r="A113" s="1">
        <v>45586</v>
      </c>
      <c r="B113" t="s">
        <v>167</v>
      </c>
      <c r="C113" t="s">
        <v>177</v>
      </c>
      <c r="D113" t="s">
        <v>83</v>
      </c>
      <c r="E113" t="s">
        <v>48</v>
      </c>
      <c r="F113" t="s">
        <v>42</v>
      </c>
      <c r="G113" t="s">
        <v>40</v>
      </c>
      <c r="H113">
        <v>8</v>
      </c>
      <c r="I113">
        <v>230</v>
      </c>
      <c r="J113">
        <v>1840</v>
      </c>
      <c r="K113">
        <v>1200</v>
      </c>
      <c r="L113">
        <v>640</v>
      </c>
      <c r="M113">
        <v>14</v>
      </c>
      <c r="N113">
        <v>8</v>
      </c>
      <c r="O113" s="8" t="str">
        <f t="shared" si="4"/>
        <v>In Stock</v>
      </c>
      <c r="P113" s="8" t="str">
        <f t="shared" si="5"/>
        <v>PASS</v>
      </c>
      <c r="Q113">
        <f>tbl_sales_clean[[#This Row],[Profit]]/tbl_sales_clean[[#This Row],[Total_Sales]]</f>
        <v>0.34782608695652173</v>
      </c>
    </row>
    <row r="114" spans="1:17">
      <c r="A114" s="1">
        <v>45589</v>
      </c>
      <c r="B114" t="s">
        <v>168</v>
      </c>
      <c r="C114" t="s">
        <v>178</v>
      </c>
      <c r="D114" t="s">
        <v>85</v>
      </c>
      <c r="E114" t="s">
        <v>43</v>
      </c>
      <c r="F114" t="s">
        <v>47</v>
      </c>
      <c r="G114" t="s">
        <v>45</v>
      </c>
      <c r="H114">
        <v>40</v>
      </c>
      <c r="I114">
        <v>15.5</v>
      </c>
      <c r="J114">
        <v>620</v>
      </c>
      <c r="K114">
        <v>300</v>
      </c>
      <c r="L114">
        <v>320</v>
      </c>
      <c r="M114">
        <v>20</v>
      </c>
      <c r="N114">
        <v>25</v>
      </c>
      <c r="O114" s="8" t="str">
        <f t="shared" si="4"/>
        <v>Low Stock</v>
      </c>
      <c r="P114" s="8" t="str">
        <f t="shared" si="5"/>
        <v>PASS</v>
      </c>
      <c r="Q114">
        <f>tbl_sales_clean[[#This Row],[Profit]]/tbl_sales_clean[[#This Row],[Total_Sales]]</f>
        <v>0.5161290322580645</v>
      </c>
    </row>
    <row r="115" spans="1:17">
      <c r="A115" s="1">
        <v>45592</v>
      </c>
      <c r="B115" t="s">
        <v>169</v>
      </c>
      <c r="C115" t="s">
        <v>179</v>
      </c>
      <c r="D115" t="s">
        <v>87</v>
      </c>
      <c r="E115" t="s">
        <v>53</v>
      </c>
      <c r="F115" t="s">
        <v>52</v>
      </c>
      <c r="G115" t="s">
        <v>50</v>
      </c>
      <c r="H115">
        <v>18</v>
      </c>
      <c r="I115">
        <v>108</v>
      </c>
      <c r="J115">
        <v>1944</v>
      </c>
      <c r="K115">
        <v>1170</v>
      </c>
      <c r="L115">
        <v>774</v>
      </c>
      <c r="M115">
        <v>45</v>
      </c>
      <c r="N115">
        <v>8</v>
      </c>
      <c r="O115" s="8" t="str">
        <f t="shared" si="4"/>
        <v>In Stock</v>
      </c>
      <c r="P115" s="8" t="str">
        <f t="shared" si="5"/>
        <v>PASS</v>
      </c>
      <c r="Q115">
        <f>tbl_sales_clean[[#This Row],[Profit]]/tbl_sales_clean[[#This Row],[Total_Sales]]</f>
        <v>0.39814814814814814</v>
      </c>
    </row>
    <row r="116" spans="1:17">
      <c r="A116" s="1">
        <v>45595</v>
      </c>
      <c r="B116" t="s">
        <v>170</v>
      </c>
      <c r="C116" t="s">
        <v>180</v>
      </c>
      <c r="D116" t="s">
        <v>89</v>
      </c>
      <c r="E116" t="s">
        <v>58</v>
      </c>
      <c r="F116" t="s">
        <v>57</v>
      </c>
      <c r="G116" t="s">
        <v>55</v>
      </c>
      <c r="H116">
        <v>65</v>
      </c>
      <c r="I116">
        <v>8.1999999999999993</v>
      </c>
      <c r="J116">
        <v>533</v>
      </c>
      <c r="K116">
        <v>240.5</v>
      </c>
      <c r="L116">
        <v>292.5</v>
      </c>
      <c r="M116">
        <v>100</v>
      </c>
      <c r="N116">
        <v>35</v>
      </c>
      <c r="O116" s="8" t="str">
        <f t="shared" si="4"/>
        <v>In Stock</v>
      </c>
      <c r="P116" s="8" t="str">
        <f t="shared" si="5"/>
        <v>PASS</v>
      </c>
      <c r="Q116">
        <f>tbl_sales_clean[[#This Row],[Profit]]/tbl_sales_clean[[#This Row],[Total_Sales]]</f>
        <v>0.54878048780487809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58B3-BFA9-4A9A-AB5A-806FB9022074}">
  <dimension ref="B3:Q14"/>
  <sheetViews>
    <sheetView showGridLines="0" topLeftCell="E1" workbookViewId="0">
      <selection activeCell="Q4" sqref="Q4"/>
    </sheetView>
  </sheetViews>
  <sheetFormatPr baseColWidth="10" defaultRowHeight="15"/>
  <cols>
    <col min="1" max="1" width="17.85546875" bestFit="1" customWidth="1"/>
    <col min="2" max="2" width="12.5703125" bestFit="1" customWidth="1"/>
    <col min="3" max="3" width="19.42578125" bestFit="1" customWidth="1"/>
    <col min="5" max="5" width="17.85546875" bestFit="1" customWidth="1"/>
    <col min="6" max="6" width="18.85546875" bestFit="1" customWidth="1"/>
    <col min="7" max="7" width="19.42578125" bestFit="1" customWidth="1"/>
    <col min="9" max="9" width="17.85546875" bestFit="1" customWidth="1"/>
    <col min="10" max="10" width="18.85546875" bestFit="1" customWidth="1"/>
    <col min="11" max="11" width="13.5703125" bestFit="1" customWidth="1"/>
    <col min="12" max="12" width="18.85546875" bestFit="1" customWidth="1"/>
    <col min="13" max="13" width="17.85546875" bestFit="1" customWidth="1"/>
    <col min="14" max="14" width="14.140625" bestFit="1" customWidth="1"/>
    <col min="16" max="16" width="12.5703125" bestFit="1" customWidth="1"/>
    <col min="17" max="17" width="14.140625" bestFit="1" customWidth="1"/>
  </cols>
  <sheetData>
    <row r="3" spans="2:17">
      <c r="B3" s="3" t="s">
        <v>33</v>
      </c>
      <c r="C3" t="s">
        <v>30</v>
      </c>
      <c r="F3" s="3" t="s">
        <v>4</v>
      </c>
      <c r="G3" t="s">
        <v>30</v>
      </c>
      <c r="K3" s="3" t="s">
        <v>14</v>
      </c>
      <c r="L3" t="s">
        <v>253</v>
      </c>
      <c r="P3" s="3" t="s">
        <v>34</v>
      </c>
      <c r="Q3" t="s">
        <v>32</v>
      </c>
    </row>
    <row r="4" spans="2:17">
      <c r="B4" s="4" t="s">
        <v>27</v>
      </c>
      <c r="C4" s="5">
        <v>13006.95</v>
      </c>
      <c r="F4" s="4" t="s">
        <v>37</v>
      </c>
      <c r="G4" s="9">
        <v>71291.7</v>
      </c>
      <c r="P4" s="4" t="s">
        <v>40</v>
      </c>
      <c r="Q4" s="9">
        <v>14401.25</v>
      </c>
    </row>
    <row r="5" spans="2:17">
      <c r="B5" s="4" t="s">
        <v>28</v>
      </c>
      <c r="C5" s="5">
        <v>10487</v>
      </c>
      <c r="F5" s="4" t="s">
        <v>43</v>
      </c>
      <c r="G5" s="9">
        <v>14019</v>
      </c>
      <c r="K5" s="3" t="s">
        <v>3</v>
      </c>
      <c r="L5" t="s">
        <v>31</v>
      </c>
      <c r="P5" s="4" t="s">
        <v>45</v>
      </c>
      <c r="Q5" s="9">
        <v>10314.5</v>
      </c>
    </row>
    <row r="6" spans="2:17">
      <c r="B6" s="4" t="s">
        <v>29</v>
      </c>
      <c r="C6" s="5">
        <v>10046</v>
      </c>
      <c r="F6" s="4" t="s">
        <v>48</v>
      </c>
      <c r="G6" s="9">
        <v>33251.75</v>
      </c>
      <c r="K6" s="4" t="s">
        <v>59</v>
      </c>
      <c r="L6" s="9">
        <v>4</v>
      </c>
      <c r="P6" s="4" t="s">
        <v>50</v>
      </c>
      <c r="Q6" s="9">
        <v>18617.7</v>
      </c>
    </row>
    <row r="7" spans="2:17">
      <c r="B7" s="4" t="s">
        <v>196</v>
      </c>
      <c r="C7" s="5">
        <v>10796</v>
      </c>
      <c r="F7" s="4" t="s">
        <v>53</v>
      </c>
      <c r="G7" s="9">
        <v>25632.5</v>
      </c>
      <c r="K7" s="4" t="s">
        <v>49</v>
      </c>
      <c r="L7" s="9">
        <v>4</v>
      </c>
      <c r="P7" s="4" t="s">
        <v>55</v>
      </c>
      <c r="Q7" s="9">
        <v>9532.1</v>
      </c>
    </row>
    <row r="8" spans="2:17">
      <c r="B8" s="4" t="s">
        <v>197</v>
      </c>
      <c r="C8" s="5">
        <v>15572.5</v>
      </c>
      <c r="F8" s="4" t="s">
        <v>58</v>
      </c>
      <c r="G8" s="9">
        <v>8620</v>
      </c>
      <c r="K8" s="4" t="s">
        <v>38</v>
      </c>
      <c r="L8" s="9">
        <v>4</v>
      </c>
      <c r="P8" s="4" t="s">
        <v>26</v>
      </c>
      <c r="Q8" s="9">
        <v>52865.549999999996</v>
      </c>
    </row>
    <row r="9" spans="2:17">
      <c r="B9" s="4" t="s">
        <v>198</v>
      </c>
      <c r="C9" s="5">
        <v>14807</v>
      </c>
      <c r="F9" s="4" t="s">
        <v>26</v>
      </c>
      <c r="G9" s="9">
        <v>152814.95000000001</v>
      </c>
      <c r="K9" s="4" t="s">
        <v>44</v>
      </c>
      <c r="L9" s="9">
        <v>4</v>
      </c>
    </row>
    <row r="10" spans="2:17">
      <c r="B10" s="4" t="s">
        <v>199</v>
      </c>
      <c r="C10" s="5">
        <v>18548.5</v>
      </c>
      <c r="K10" s="4" t="s">
        <v>95</v>
      </c>
      <c r="L10" s="9">
        <v>2</v>
      </c>
    </row>
    <row r="11" spans="2:17">
      <c r="B11" s="4" t="s">
        <v>200</v>
      </c>
      <c r="C11" s="5">
        <v>17300</v>
      </c>
      <c r="K11" s="4" t="s">
        <v>26</v>
      </c>
      <c r="L11" s="9">
        <v>18</v>
      </c>
    </row>
    <row r="12" spans="2:17">
      <c r="B12" s="4" t="s">
        <v>201</v>
      </c>
      <c r="C12" s="5">
        <v>22244</v>
      </c>
    </row>
    <row r="13" spans="2:17">
      <c r="B13" s="4" t="s">
        <v>202</v>
      </c>
      <c r="C13" s="5">
        <v>20007</v>
      </c>
    </row>
    <row r="14" spans="2:17">
      <c r="B14" s="4" t="s">
        <v>26</v>
      </c>
      <c r="C14" s="5">
        <v>152814.95000000001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485C-CA91-4B8C-A60A-451C139F0986}">
  <dimension ref="A7:G40"/>
  <sheetViews>
    <sheetView showGridLines="0" tabSelected="1" topLeftCell="A2" zoomScale="89" zoomScaleNormal="89" workbookViewId="0">
      <selection activeCell="K41" sqref="K41"/>
    </sheetView>
  </sheetViews>
  <sheetFormatPr baseColWidth="10" defaultRowHeight="15"/>
  <cols>
    <col min="1" max="1" width="23.5703125" customWidth="1"/>
    <col min="2" max="2" width="15.42578125" bestFit="1" customWidth="1"/>
    <col min="3" max="3" width="16.5703125" bestFit="1" customWidth="1"/>
    <col min="4" max="4" width="20.140625" bestFit="1" customWidth="1"/>
    <col min="5" max="5" width="24.7109375" bestFit="1" customWidth="1"/>
  </cols>
  <sheetData>
    <row r="7" spans="1:5">
      <c r="A7" s="6" t="s">
        <v>20</v>
      </c>
      <c r="B7" s="7" t="s">
        <v>21</v>
      </c>
      <c r="C7" s="7" t="s">
        <v>22</v>
      </c>
      <c r="D7" s="7" t="s">
        <v>23</v>
      </c>
      <c r="E7" s="7" t="s">
        <v>24</v>
      </c>
    </row>
    <row r="8" spans="1:5">
      <c r="A8" s="10">
        <f>SUM(tbl_sales_clean[Total_Sales])</f>
        <v>152814.95000000001</v>
      </c>
      <c r="B8" s="10">
        <f>SUM(tbl_sales_clean[Profit])</f>
        <v>52865.55</v>
      </c>
      <c r="C8" s="7">
        <f>COUNTA(tbl_sales_clean[Order_ID])</f>
        <v>115</v>
      </c>
      <c r="D8" s="7">
        <f>COUNTIF(tbl_sales_clean[Status],"Low Stock")</f>
        <v>29</v>
      </c>
      <c r="E8" s="11">
        <f>AVERAGE(tbl_sales_clean[Profit_Margin])</f>
        <v>0.41196103893637187</v>
      </c>
    </row>
    <row r="40" spans="7:7">
      <c r="G40" t="s">
        <v>254</v>
      </c>
    </row>
  </sheetData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68E4-A9EA-4BED-B55C-D00A904C9FD1}">
  <dimension ref="A1"/>
  <sheetViews>
    <sheetView workbookViewId="0">
      <selection activeCell="J31" sqref="J31"/>
    </sheetView>
  </sheetViews>
  <sheetFormatPr baseColWidth="10" defaultRowHeight="15"/>
  <cols>
    <col min="1" max="1" width="9.42578125" bestFit="1" customWidth="1"/>
    <col min="2" max="2" width="9.5703125" bestFit="1" customWidth="1"/>
    <col min="3" max="3" width="12.42578125" bestFit="1" customWidth="1"/>
    <col min="4" max="4" width="10.85546875" bestFit="1" customWidth="1"/>
    <col min="5" max="5" width="8.85546875" bestFit="1" customWidth="1"/>
    <col min="6" max="6" width="12.140625" bestFit="1" customWidth="1"/>
    <col min="7" max="7" width="9.85546875" bestFit="1" customWidth="1"/>
    <col min="8" max="8" width="13.140625" bestFit="1" customWidth="1"/>
    <col min="9" max="9" width="9.85546875" bestFit="1" customWidth="1"/>
    <col min="10" max="10" width="11" bestFit="1" customWidth="1"/>
    <col min="11" max="11" width="15.42578125" bestFit="1" customWidth="1"/>
    <col min="12" max="12" width="6" bestFit="1" customWidth="1"/>
    <col min="13" max="13" width="14.5703125" bestFit="1" customWidth="1"/>
    <col min="14" max="14" width="13" bestFit="1" customWidth="1"/>
    <col min="15" max="15" width="10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Raw_Data</vt:lpstr>
      <vt:lpstr>Data_Cleaning</vt:lpstr>
      <vt:lpstr>Clean_Data</vt:lpstr>
      <vt:lpstr>Pivot_Tables</vt:lpstr>
      <vt:lpstr>Dashboard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Suarez, Gabriela 158</dc:creator>
  <cp:lastModifiedBy>NATALY SUAREZ</cp:lastModifiedBy>
  <cp:lastPrinted>2026-09-08T18:13:48Z</cp:lastPrinted>
  <dcterms:created xsi:type="dcterms:W3CDTF">2026-08-18T16:59:35Z</dcterms:created>
  <dcterms:modified xsi:type="dcterms:W3CDTF">2026-09-12T21:47:21Z</dcterms:modified>
</cp:coreProperties>
</file>